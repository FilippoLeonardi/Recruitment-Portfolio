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samsm\Documents\"/>
    </mc:Choice>
  </mc:AlternateContent>
  <xr:revisionPtr revIDLastSave="0" documentId="8_{E02B304F-5D48-4022-BEF3-036290323DE3}" xr6:coauthVersionLast="47" xr6:coauthVersionMax="47" xr10:uidLastSave="{00000000-0000-0000-0000-000000000000}"/>
  <bookViews>
    <workbookView xWindow="-108" yWindow="-108" windowWidth="23256" windowHeight="12456" firstSheet="2" activeTab="2" xr2:uid="{92CE52E8-5336-4BD4-A736-B53DBD2D281A}"/>
  </bookViews>
  <sheets>
    <sheet name="IS" sheetId="1" r:id="rId1"/>
    <sheet name="BS" sheetId="2" r:id="rId2"/>
    <sheet name="CF" sheetId="3" r:id="rId3"/>
  </sheets>
  <definedNames>
    <definedName name="CIQWBGuid" hidden="1">"ab508404-a108-4d4f-b84c-e5fce791e559"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"06/24/2017 13:39:53"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3" l="1"/>
  <c r="L26" i="3"/>
  <c r="L22" i="3"/>
  <c r="L17" i="3"/>
  <c r="L32" i="3"/>
  <c r="L34" i="3" s="1"/>
  <c r="L25" i="3"/>
  <c r="L19" i="3"/>
  <c r="L7" i="3"/>
  <c r="L89" i="2"/>
  <c r="L80" i="2"/>
  <c r="L77" i="2"/>
  <c r="K77" i="2"/>
  <c r="J77" i="2"/>
  <c r="I77" i="2"/>
  <c r="H77" i="2"/>
  <c r="L74" i="2"/>
  <c r="F73" i="2"/>
  <c r="L70" i="2"/>
  <c r="L71" i="2" s="1"/>
  <c r="L60" i="2"/>
  <c r="L59" i="2"/>
  <c r="L56" i="2"/>
  <c r="G37" i="1"/>
  <c r="H37" i="1"/>
  <c r="I37" i="1"/>
  <c r="J37" i="1"/>
  <c r="K37" i="1"/>
  <c r="L37" i="1"/>
  <c r="H33" i="3"/>
  <c r="L29" i="3"/>
  <c r="K29" i="3"/>
  <c r="J29" i="3"/>
  <c r="I29" i="3"/>
  <c r="H29" i="3"/>
  <c r="K26" i="3"/>
  <c r="J26" i="3"/>
  <c r="I26" i="3"/>
  <c r="H26" i="3"/>
  <c r="D37" i="1"/>
  <c r="F37" i="1"/>
  <c r="H30" i="2"/>
  <c r="I30" i="2" s="1"/>
  <c r="J30" i="2" s="1"/>
  <c r="K30" i="2" s="1"/>
  <c r="L30" i="2" s="1"/>
  <c r="H28" i="2"/>
  <c r="I28" i="2" s="1"/>
  <c r="J28" i="2" s="1"/>
  <c r="K28" i="2" s="1"/>
  <c r="L28" i="2" s="1"/>
  <c r="H26" i="2"/>
  <c r="I26" i="2" s="1"/>
  <c r="J26" i="2" s="1"/>
  <c r="K26" i="2" s="1"/>
  <c r="L26" i="2" s="1"/>
  <c r="H25" i="2"/>
  <c r="H22" i="2"/>
  <c r="I22" i="2" s="1"/>
  <c r="J22" i="2" s="1"/>
  <c r="K22" i="2" s="1"/>
  <c r="L22" i="2" s="1"/>
  <c r="H21" i="2"/>
  <c r="I21" i="2" s="1"/>
  <c r="J21" i="2" s="1"/>
  <c r="K21" i="2" s="1"/>
  <c r="L21" i="2" s="1"/>
  <c r="H10" i="2"/>
  <c r="I10" i="2" s="1"/>
  <c r="J10" i="2" s="1"/>
  <c r="K10" i="2" s="1"/>
  <c r="L10" i="2" s="1"/>
  <c r="H9" i="2"/>
  <c r="I9" i="2" s="1"/>
  <c r="J9" i="2" s="1"/>
  <c r="K9" i="2" s="1"/>
  <c r="L9" i="2" s="1"/>
  <c r="D41" i="1"/>
  <c r="C41" i="1"/>
  <c r="C37" i="1"/>
  <c r="B52" i="2"/>
  <c r="H5" i="1"/>
  <c r="G31" i="1"/>
  <c r="F31" i="1"/>
  <c r="E31" i="1"/>
  <c r="D31" i="1"/>
  <c r="G30" i="1"/>
  <c r="F30" i="1"/>
  <c r="E30" i="1"/>
  <c r="D30" i="1"/>
  <c r="C31" i="1"/>
  <c r="C30" i="1"/>
  <c r="H31" i="1"/>
  <c r="H30" i="1"/>
  <c r="G29" i="1"/>
  <c r="H29" i="1" s="1"/>
  <c r="H8" i="1" s="1"/>
  <c r="F29" i="1"/>
  <c r="E29" i="1"/>
  <c r="D29" i="1"/>
  <c r="C29" i="1"/>
  <c r="C28" i="1"/>
  <c r="G28" i="1"/>
  <c r="H28" i="1" s="1"/>
  <c r="F28" i="1"/>
  <c r="E28" i="1"/>
  <c r="D28" i="1"/>
  <c r="G27" i="1"/>
  <c r="F27" i="1"/>
  <c r="E27" i="1"/>
  <c r="D27" i="1"/>
  <c r="I25" i="2" l="1"/>
  <c r="I28" i="1"/>
  <c r="H6" i="1"/>
  <c r="I30" i="1"/>
  <c r="H9" i="1"/>
  <c r="I31" i="1"/>
  <c r="H10" i="1"/>
  <c r="H7" i="1"/>
  <c r="H11" i="1" s="1"/>
  <c r="I5" i="1"/>
  <c r="I29" i="1"/>
  <c r="I8" i="1" s="1"/>
  <c r="J25" i="2" l="1"/>
  <c r="J5" i="1"/>
  <c r="J31" i="1"/>
  <c r="I10" i="1"/>
  <c r="J30" i="1"/>
  <c r="I9" i="1"/>
  <c r="J28" i="1"/>
  <c r="I6" i="1"/>
  <c r="J29" i="1"/>
  <c r="J8" i="1" s="1"/>
  <c r="K25" i="2" l="1"/>
  <c r="I7" i="1"/>
  <c r="I11" i="1" s="1"/>
  <c r="K28" i="1"/>
  <c r="J6" i="1"/>
  <c r="K30" i="1"/>
  <c r="J9" i="1"/>
  <c r="K31" i="1"/>
  <c r="J10" i="1"/>
  <c r="K5" i="1"/>
  <c r="J7" i="1"/>
  <c r="J11" i="1" s="1"/>
  <c r="K29" i="1"/>
  <c r="K8" i="1" s="1"/>
  <c r="L25" i="2" l="1"/>
  <c r="L5" i="1"/>
  <c r="C51" i="2" a="1"/>
  <c r="L31" i="1"/>
  <c r="L10" i="1" s="1"/>
  <c r="K10" i="1"/>
  <c r="L30" i="1"/>
  <c r="L9" i="1" s="1"/>
  <c r="K9" i="1"/>
  <c r="L28" i="1"/>
  <c r="L6" i="1" s="1"/>
  <c r="K6" i="1"/>
  <c r="L29" i="1"/>
  <c r="L8" i="1" s="1"/>
  <c r="K7" i="1" l="1"/>
  <c r="K11" i="1" s="1"/>
  <c r="C52" i="2" a="1"/>
  <c r="D73" i="2"/>
  <c r="L73" i="2"/>
  <c r="L69" i="2" s="1"/>
  <c r="K73" i="2"/>
  <c r="K69" i="2" s="1"/>
  <c r="K19" i="3" s="1"/>
  <c r="J73" i="2"/>
  <c r="J69" i="2" s="1"/>
  <c r="J19" i="3" s="1"/>
  <c r="I73" i="2"/>
  <c r="I69" i="2" s="1"/>
  <c r="I19" i="3" s="1"/>
  <c r="H73" i="2"/>
  <c r="H69" i="2" s="1"/>
  <c r="G73" i="2"/>
  <c r="E73" i="2"/>
  <c r="D82" i="2"/>
  <c r="L82" i="2"/>
  <c r="L78" i="2" s="1"/>
  <c r="K82" i="2"/>
  <c r="K78" i="2" s="1"/>
  <c r="J82" i="2"/>
  <c r="J78" i="2" s="1"/>
  <c r="I82" i="2"/>
  <c r="I78" i="2" s="1"/>
  <c r="H82" i="2"/>
  <c r="H78" i="2" s="1"/>
  <c r="G82" i="2"/>
  <c r="F82" i="2"/>
  <c r="E82" i="2"/>
  <c r="C51" i="2"/>
  <c r="L7" i="1"/>
  <c r="L11" i="1" s="1"/>
  <c r="W5" i="1"/>
  <c r="V10" i="1"/>
  <c r="W10" i="1" s="1"/>
  <c r="X10" i="1" s="1"/>
  <c r="Y10" i="1" s="1"/>
  <c r="Z10" i="1" s="1"/>
  <c r="U10" i="1"/>
  <c r="T10" i="1"/>
  <c r="S10" i="1"/>
  <c r="R10" i="1"/>
  <c r="X5" i="1"/>
  <c r="V9" i="1"/>
  <c r="U9" i="1"/>
  <c r="T9" i="1"/>
  <c r="S9" i="1"/>
  <c r="G41" i="1"/>
  <c r="F41" i="1"/>
  <c r="E41" i="1"/>
  <c r="G40" i="1"/>
  <c r="F40" i="1"/>
  <c r="E40" i="1"/>
  <c r="D40" i="1"/>
  <c r="C40" i="1"/>
  <c r="D42" i="1" s="1"/>
  <c r="E37" i="1"/>
  <c r="D4" i="3"/>
  <c r="E4" i="3" s="1"/>
  <c r="F4" i="3" s="1"/>
  <c r="G4" i="3" s="1"/>
  <c r="H4" i="3" s="1"/>
  <c r="I4" i="3" s="1"/>
  <c r="J4" i="3" s="1"/>
  <c r="K4" i="3" s="1"/>
  <c r="L4" i="3" s="1"/>
  <c r="D4" i="1"/>
  <c r="E4" i="1" s="1"/>
  <c r="F4" i="1" s="1"/>
  <c r="G4" i="1" s="1"/>
  <c r="H4" i="1" s="1"/>
  <c r="I4" i="1" s="1"/>
  <c r="J4" i="1" s="1"/>
  <c r="K4" i="1" s="1"/>
  <c r="L4" i="1" s="1"/>
  <c r="D5" i="2"/>
  <c r="E5" i="2" s="1"/>
  <c r="F5" i="2" s="1"/>
  <c r="G5" i="2" s="1"/>
  <c r="H5" i="2" s="1"/>
  <c r="I5" i="2" s="1"/>
  <c r="J5" i="2" s="1"/>
  <c r="K5" i="2" s="1"/>
  <c r="L5" i="2" s="1"/>
  <c r="G47" i="2"/>
  <c r="F47" i="2"/>
  <c r="F60" i="2" s="1"/>
  <c r="E47" i="2"/>
  <c r="E60" i="2" s="1"/>
  <c r="D47" i="2"/>
  <c r="D60" i="2" s="1"/>
  <c r="C47" i="2"/>
  <c r="G46" i="2"/>
  <c r="F46" i="2"/>
  <c r="E46" i="2"/>
  <c r="D46" i="2"/>
  <c r="C46" i="2"/>
  <c r="G44" i="2"/>
  <c r="F44" i="2"/>
  <c r="F57" i="2" s="1"/>
  <c r="E44" i="2"/>
  <c r="E57" i="2" s="1"/>
  <c r="D44" i="2"/>
  <c r="D57" i="2" s="1"/>
  <c r="C44" i="2"/>
  <c r="G43" i="2"/>
  <c r="F43" i="2"/>
  <c r="F56" i="2" s="1"/>
  <c r="E43" i="2"/>
  <c r="E56" i="2" s="1"/>
  <c r="D43" i="2"/>
  <c r="D56" i="2" s="1"/>
  <c r="C43" i="2"/>
  <c r="G42" i="2"/>
  <c r="G48" i="2" s="1"/>
  <c r="F42" i="2"/>
  <c r="F48" i="2" s="1"/>
  <c r="E42" i="2"/>
  <c r="E48" i="2" s="1"/>
  <c r="D42" i="2"/>
  <c r="D48" i="2" s="1"/>
  <c r="C42" i="2"/>
  <c r="C48" i="2" s="1"/>
  <c r="V7" i="1"/>
  <c r="U7" i="1"/>
  <c r="T7" i="1"/>
  <c r="S7" i="1"/>
  <c r="R7" i="1"/>
  <c r="S4" i="1"/>
  <c r="T4" i="1" s="1"/>
  <c r="U4" i="1" s="1"/>
  <c r="V4" i="1" s="1"/>
  <c r="W4" i="1" s="1"/>
  <c r="X4" i="1" s="1"/>
  <c r="Y4" i="1" s="1"/>
  <c r="Z4" i="1" s="1"/>
  <c r="L43" i="2" l="1"/>
  <c r="L13" i="2" s="1"/>
  <c r="K56" i="2"/>
  <c r="K43" i="2" s="1"/>
  <c r="J56" i="2"/>
  <c r="J43" i="2" s="1"/>
  <c r="I56" i="2"/>
  <c r="I43" i="2" s="1"/>
  <c r="H56" i="2"/>
  <c r="H43" i="2" s="1"/>
  <c r="G56" i="2"/>
  <c r="L57" i="2"/>
  <c r="L44" i="2" s="1"/>
  <c r="L14" i="2" s="1"/>
  <c r="K57" i="2"/>
  <c r="K44" i="2" s="1"/>
  <c r="J57" i="2"/>
  <c r="J44" i="2" s="1"/>
  <c r="I57" i="2"/>
  <c r="I44" i="2" s="1"/>
  <c r="H57" i="2"/>
  <c r="H44" i="2" s="1"/>
  <c r="G57" i="2"/>
  <c r="L47" i="2"/>
  <c r="L33" i="2" s="1"/>
  <c r="K60" i="2"/>
  <c r="K47" i="2" s="1"/>
  <c r="J60" i="2"/>
  <c r="J47" i="2" s="1"/>
  <c r="I60" i="2"/>
  <c r="I47" i="2" s="1"/>
  <c r="H60" i="2"/>
  <c r="H47" i="2" s="1"/>
  <c r="G60" i="2"/>
  <c r="H13" i="2"/>
  <c r="I12" i="3"/>
  <c r="H12" i="3"/>
  <c r="I13" i="2"/>
  <c r="J12" i="3"/>
  <c r="J13" i="2"/>
  <c r="K12" i="3"/>
  <c r="K13" i="2"/>
  <c r="L12" i="3"/>
  <c r="H14" i="2"/>
  <c r="I13" i="3"/>
  <c r="H13" i="3"/>
  <c r="I14" i="2"/>
  <c r="J13" i="3"/>
  <c r="J14" i="2"/>
  <c r="K13" i="3"/>
  <c r="K14" i="2"/>
  <c r="L13" i="3"/>
  <c r="H20" i="3"/>
  <c r="I20" i="3"/>
  <c r="J20" i="3"/>
  <c r="K20" i="3"/>
  <c r="L20" i="3"/>
  <c r="H19" i="3"/>
  <c r="H22" i="3" s="1"/>
  <c r="I22" i="3"/>
  <c r="J22" i="3"/>
  <c r="K22" i="3"/>
  <c r="H33" i="2"/>
  <c r="I16" i="3"/>
  <c r="H16" i="3"/>
  <c r="I33" i="2"/>
  <c r="J16" i="3"/>
  <c r="J33" i="2"/>
  <c r="K16" i="3"/>
  <c r="K33" i="2"/>
  <c r="L16" i="3"/>
  <c r="E42" i="1"/>
  <c r="F42" i="1"/>
  <c r="L42" i="1"/>
  <c r="K42" i="1"/>
  <c r="J42" i="1"/>
  <c r="I42" i="1"/>
  <c r="H42" i="1"/>
  <c r="H41" i="1" s="1"/>
  <c r="H14" i="1" s="1"/>
  <c r="G42" i="1"/>
  <c r="C60" i="2"/>
  <c r="C57" i="2"/>
  <c r="C56" i="2"/>
  <c r="C52" i="2"/>
  <c r="L46" i="2"/>
  <c r="L32" i="2" s="1"/>
  <c r="K59" i="2"/>
  <c r="K46" i="2" s="1"/>
  <c r="J59" i="2"/>
  <c r="J46" i="2" s="1"/>
  <c r="I59" i="2"/>
  <c r="I46" i="2" s="1"/>
  <c r="H59" i="2"/>
  <c r="H46" i="2" s="1"/>
  <c r="G59" i="2"/>
  <c r="F59" i="2"/>
  <c r="E59" i="2"/>
  <c r="D59" i="2"/>
  <c r="L55" i="2"/>
  <c r="L42" i="2" s="1"/>
  <c r="L12" i="2" s="1"/>
  <c r="K55" i="2"/>
  <c r="K42" i="2" s="1"/>
  <c r="L11" i="3" s="1"/>
  <c r="J55" i="2"/>
  <c r="J42" i="2" s="1"/>
  <c r="K11" i="3" s="1"/>
  <c r="I55" i="2"/>
  <c r="I42" i="2" s="1"/>
  <c r="J11" i="3" s="1"/>
  <c r="H55" i="2"/>
  <c r="H42" i="2" s="1"/>
  <c r="G55" i="2"/>
  <c r="F55" i="2"/>
  <c r="E55" i="2"/>
  <c r="D55" i="2"/>
  <c r="Y5" i="1"/>
  <c r="X6" i="1"/>
  <c r="X7" i="1" s="1"/>
  <c r="W6" i="1"/>
  <c r="W7" i="1" s="1"/>
  <c r="H11" i="3" l="1"/>
  <c r="I11" i="3"/>
  <c r="H32" i="2"/>
  <c r="I15" i="3"/>
  <c r="H15" i="3"/>
  <c r="I32" i="2"/>
  <c r="J15" i="3"/>
  <c r="J32" i="2"/>
  <c r="K15" i="3"/>
  <c r="K32" i="2"/>
  <c r="L15" i="3"/>
  <c r="H12" i="2"/>
  <c r="H48" i="2"/>
  <c r="I12" i="2"/>
  <c r="I48" i="2"/>
  <c r="J12" i="2"/>
  <c r="J48" i="2"/>
  <c r="K12" i="2"/>
  <c r="K48" i="2"/>
  <c r="L48" i="2"/>
  <c r="C59" i="2"/>
  <c r="C55" i="2"/>
  <c r="Z5" i="1"/>
  <c r="Y6" i="1"/>
  <c r="Y7" i="1" s="1"/>
  <c r="Z6" i="1" l="1"/>
  <c r="Z7" i="1" s="1"/>
  <c r="F71" i="2"/>
  <c r="E71" i="2"/>
  <c r="D71" i="2"/>
  <c r="C71" i="2"/>
  <c r="D68" i="2" s="1"/>
  <c r="G71" i="2"/>
  <c r="H68" i="2" s="1"/>
  <c r="C95" i="2"/>
  <c r="G95" i="2"/>
  <c r="H92" i="2" s="1"/>
  <c r="H95" i="2" s="1"/>
  <c r="F95" i="2"/>
  <c r="E95" i="2"/>
  <c r="E35" i="1" s="1"/>
  <c r="D95" i="2"/>
  <c r="D35" i="1" s="1"/>
  <c r="G92" i="2"/>
  <c r="F92" i="2"/>
  <c r="E92" i="2"/>
  <c r="E94" i="2" s="1"/>
  <c r="C80" i="2"/>
  <c r="G89" i="2"/>
  <c r="F89" i="2"/>
  <c r="E89" i="2"/>
  <c r="D89" i="2"/>
  <c r="C89" i="2"/>
  <c r="C34" i="1" s="1"/>
  <c r="F86" i="2"/>
  <c r="E86" i="2"/>
  <c r="D86" i="2"/>
  <c r="G80" i="2"/>
  <c r="F80" i="2"/>
  <c r="G77" i="2" s="1"/>
  <c r="E80" i="2"/>
  <c r="D80" i="2"/>
  <c r="G79" i="2"/>
  <c r="F77" i="2"/>
  <c r="F79" i="2" s="1"/>
  <c r="F83" i="2" s="1"/>
  <c r="E77" i="2"/>
  <c r="E79" i="2" s="1"/>
  <c r="E83" i="2" s="1"/>
  <c r="D77" i="2"/>
  <c r="D79" i="2" s="1"/>
  <c r="D83" i="2" s="1"/>
  <c r="L83" i="2" l="1"/>
  <c r="K83" i="2"/>
  <c r="J83" i="2"/>
  <c r="I83" i="2"/>
  <c r="H83" i="2"/>
  <c r="H79" i="2" s="1"/>
  <c r="G83" i="2"/>
  <c r="H80" i="2"/>
  <c r="G34" i="1"/>
  <c r="H86" i="2"/>
  <c r="H89" i="2" s="1"/>
  <c r="H31" i="2"/>
  <c r="H34" i="2" s="1"/>
  <c r="I92" i="2"/>
  <c r="I95" i="2" s="1"/>
  <c r="H35" i="1"/>
  <c r="D34" i="1"/>
  <c r="D36" i="1" s="1"/>
  <c r="E38" i="1" s="1"/>
  <c r="D88" i="2"/>
  <c r="E34" i="1"/>
  <c r="E36" i="1" s="1"/>
  <c r="F38" i="1" s="1"/>
  <c r="E88" i="2"/>
  <c r="F88" i="2"/>
  <c r="F34" i="1"/>
  <c r="F94" i="2"/>
  <c r="F35" i="1"/>
  <c r="G94" i="2"/>
  <c r="G35" i="1"/>
  <c r="G36" i="1" s="1"/>
  <c r="D92" i="2"/>
  <c r="D94" i="2" s="1"/>
  <c r="C35" i="1"/>
  <c r="C36" i="1" s="1"/>
  <c r="D70" i="2"/>
  <c r="D74" i="2" s="1"/>
  <c r="E68" i="2"/>
  <c r="E70" i="2"/>
  <c r="E74" i="2" s="1"/>
  <c r="F68" i="2"/>
  <c r="F70" i="2"/>
  <c r="F74" i="2" s="1"/>
  <c r="G68" i="2"/>
  <c r="G70" i="2" s="1"/>
  <c r="G86" i="2"/>
  <c r="G88" i="2" s="1"/>
  <c r="A2" i="2"/>
  <c r="G12" i="1"/>
  <c r="F12" i="1"/>
  <c r="E12" i="1"/>
  <c r="D12" i="1"/>
  <c r="H8" i="2" l="1"/>
  <c r="I79" i="2"/>
  <c r="I80" i="2" s="1"/>
  <c r="K74" i="2"/>
  <c r="J74" i="2"/>
  <c r="I74" i="2"/>
  <c r="H74" i="2"/>
  <c r="H70" i="2" s="1"/>
  <c r="G74" i="2"/>
  <c r="J92" i="2"/>
  <c r="J95" i="2" s="1"/>
  <c r="I31" i="2"/>
  <c r="I34" i="2" s="1"/>
  <c r="I35" i="1"/>
  <c r="I86" i="2"/>
  <c r="I89" i="2" s="1"/>
  <c r="H27" i="2"/>
  <c r="H29" i="2" s="1"/>
  <c r="H34" i="1"/>
  <c r="H36" i="1" s="1"/>
  <c r="F36" i="1"/>
  <c r="G24" i="2"/>
  <c r="F24" i="2"/>
  <c r="E24" i="2"/>
  <c r="D24" i="2"/>
  <c r="C24" i="2"/>
  <c r="B47" i="2"/>
  <c r="B46" i="2"/>
  <c r="B44" i="2"/>
  <c r="B43" i="2"/>
  <c r="B42" i="2"/>
  <c r="G34" i="2"/>
  <c r="F34" i="2"/>
  <c r="E34" i="2"/>
  <c r="D34" i="2"/>
  <c r="C34" i="2"/>
  <c r="G29" i="2"/>
  <c r="F29" i="2"/>
  <c r="E29" i="2"/>
  <c r="D29" i="2"/>
  <c r="C29" i="2"/>
  <c r="G16" i="2"/>
  <c r="F16" i="2"/>
  <c r="E16" i="2"/>
  <c r="D16" i="2"/>
  <c r="C16" i="2"/>
  <c r="G11" i="2"/>
  <c r="F11" i="2"/>
  <c r="E11" i="2"/>
  <c r="D11" i="2"/>
  <c r="C11" i="2"/>
  <c r="E20" i="1"/>
  <c r="F20" i="1" s="1"/>
  <c r="G20" i="1" s="1"/>
  <c r="H20" i="1" s="1"/>
  <c r="G7" i="1"/>
  <c r="F7" i="1"/>
  <c r="F11" i="1" s="1"/>
  <c r="E7" i="1"/>
  <c r="E11" i="1" s="1"/>
  <c r="E13" i="1" s="1"/>
  <c r="D7" i="1"/>
  <c r="C7" i="1"/>
  <c r="C11" i="1" s="1"/>
  <c r="C13" i="1" s="1"/>
  <c r="I8" i="2" l="1"/>
  <c r="J79" i="2"/>
  <c r="J80" i="2" s="1"/>
  <c r="J86" i="2"/>
  <c r="J89" i="2" s="1"/>
  <c r="I27" i="2"/>
  <c r="I29" i="2" s="1"/>
  <c r="I34" i="1"/>
  <c r="I36" i="1" s="1"/>
  <c r="K92" i="2"/>
  <c r="K95" i="2" s="1"/>
  <c r="J31" i="2"/>
  <c r="J34" i="2" s="1"/>
  <c r="J35" i="1"/>
  <c r="H12" i="1"/>
  <c r="H71" i="2"/>
  <c r="I20" i="1"/>
  <c r="C18" i="2"/>
  <c r="D18" i="2"/>
  <c r="G18" i="2"/>
  <c r="C36" i="2"/>
  <c r="C38" i="2" s="1"/>
  <c r="F18" i="2"/>
  <c r="E36" i="2"/>
  <c r="E18" i="2"/>
  <c r="F36" i="2"/>
  <c r="D36" i="2"/>
  <c r="G36" i="2"/>
  <c r="F13" i="1"/>
  <c r="F16" i="1" s="1"/>
  <c r="D11" i="1"/>
  <c r="D13" i="1" s="1"/>
  <c r="D16" i="1" s="1"/>
  <c r="E16" i="1"/>
  <c r="G11" i="1"/>
  <c r="C16" i="1"/>
  <c r="J8" i="2" l="1"/>
  <c r="K79" i="2"/>
  <c r="K80" i="2" s="1"/>
  <c r="H7" i="2"/>
  <c r="H11" i="2" s="1"/>
  <c r="I68" i="2"/>
  <c r="H7" i="3"/>
  <c r="H13" i="1"/>
  <c r="L92" i="2"/>
  <c r="L95" i="2" s="1"/>
  <c r="K31" i="2"/>
  <c r="K34" i="2" s="1"/>
  <c r="K35" i="1"/>
  <c r="K86" i="2"/>
  <c r="K89" i="2" s="1"/>
  <c r="J27" i="2"/>
  <c r="J29" i="2" s="1"/>
  <c r="J34" i="1"/>
  <c r="J36" i="1" s="1"/>
  <c r="J20" i="1"/>
  <c r="D38" i="2"/>
  <c r="G38" i="2"/>
  <c r="E38" i="2"/>
  <c r="F38" i="2"/>
  <c r="F17" i="1"/>
  <c r="F44" i="1" s="1"/>
  <c r="D17" i="1"/>
  <c r="D44" i="1" s="1"/>
  <c r="E17" i="1"/>
  <c r="E44" i="1" s="1"/>
  <c r="G13" i="1"/>
  <c r="G16" i="1" s="1"/>
  <c r="C17" i="1"/>
  <c r="C44" i="1" s="1"/>
  <c r="K8" i="2" l="1"/>
  <c r="L79" i="2"/>
  <c r="L8" i="2" s="1"/>
  <c r="L86" i="2"/>
  <c r="K27" i="2"/>
  <c r="K29" i="2" s="1"/>
  <c r="K34" i="1"/>
  <c r="K36" i="1" s="1"/>
  <c r="L31" i="2"/>
  <c r="L34" i="2" s="1"/>
  <c r="L35" i="1"/>
  <c r="I70" i="2"/>
  <c r="C18" i="1"/>
  <c r="K20" i="1"/>
  <c r="L20" i="1" s="1"/>
  <c r="E18" i="1"/>
  <c r="F18" i="1"/>
  <c r="F24" i="1" s="1"/>
  <c r="D18" i="1"/>
  <c r="D21" i="1" s="1"/>
  <c r="F21" i="1"/>
  <c r="E21" i="1"/>
  <c r="E24" i="1"/>
  <c r="C24" i="1"/>
  <c r="C21" i="1"/>
  <c r="G17" i="1"/>
  <c r="G44" i="1" s="1"/>
  <c r="I12" i="1" l="1"/>
  <c r="I71" i="2"/>
  <c r="L34" i="1"/>
  <c r="L36" i="1" s="1"/>
  <c r="L27" i="2"/>
  <c r="L29" i="2" s="1"/>
  <c r="D24" i="1"/>
  <c r="G18" i="1"/>
  <c r="J68" i="2" l="1"/>
  <c r="I7" i="2"/>
  <c r="I11" i="2" s="1"/>
  <c r="I13" i="1"/>
  <c r="I7" i="3"/>
  <c r="G21" i="1"/>
  <c r="L24" i="1"/>
  <c r="K24" i="1"/>
  <c r="J24" i="1"/>
  <c r="I24" i="1"/>
  <c r="H24" i="1"/>
  <c r="G24" i="1"/>
  <c r="J70" i="2" l="1"/>
  <c r="D38" i="1"/>
  <c r="J12" i="1" l="1"/>
  <c r="J71" i="2"/>
  <c r="G38" i="1"/>
  <c r="J15" i="1"/>
  <c r="K15" i="1"/>
  <c r="L15" i="1"/>
  <c r="I15" i="1"/>
  <c r="H15" i="1"/>
  <c r="H16" i="1" s="1"/>
  <c r="H6" i="3"/>
  <c r="H25" i="3"/>
  <c r="K68" i="2" l="1"/>
  <c r="J7" i="2"/>
  <c r="J11" i="2" s="1"/>
  <c r="J13" i="1"/>
  <c r="J7" i="3"/>
  <c r="H17" i="1"/>
  <c r="H18" i="1" s="1"/>
  <c r="K70" i="2" l="1"/>
  <c r="K12" i="1" s="1"/>
  <c r="K71" i="2"/>
  <c r="H5" i="3"/>
  <c r="H17" i="3" s="1"/>
  <c r="H23" i="1"/>
  <c r="H23" i="2" s="1"/>
  <c r="H21" i="1"/>
  <c r="L68" i="2" l="1"/>
  <c r="K7" i="2"/>
  <c r="K11" i="2" s="1"/>
  <c r="K13" i="1"/>
  <c r="K7" i="3"/>
  <c r="H24" i="3"/>
  <c r="H30" i="3" s="1"/>
  <c r="H32" i="3"/>
  <c r="H34" i="3" s="1"/>
  <c r="H15" i="2" s="1"/>
  <c r="L12" i="1" l="1"/>
  <c r="L7" i="2"/>
  <c r="L11" i="2" s="1"/>
  <c r="H40" i="1"/>
  <c r="I41" i="1" s="1"/>
  <c r="I14" i="1" s="1"/>
  <c r="H16" i="2"/>
  <c r="H18" i="2" s="1"/>
  <c r="I33" i="3"/>
  <c r="H24" i="2"/>
  <c r="H36" i="2" s="1"/>
  <c r="L13" i="1" l="1"/>
  <c r="H38" i="2"/>
  <c r="I16" i="1"/>
  <c r="I6" i="3"/>
  <c r="I25" i="3" s="1"/>
  <c r="I17" i="1" l="1"/>
  <c r="I18" i="1"/>
  <c r="I5" i="3" l="1"/>
  <c r="I17" i="3" s="1"/>
  <c r="I21" i="1"/>
  <c r="I23" i="1"/>
  <c r="I24" i="3" s="1"/>
  <c r="I30" i="3" s="1"/>
  <c r="I23" i="2"/>
  <c r="I24" i="2" l="1"/>
  <c r="I36" i="2" s="1"/>
  <c r="I32" i="3"/>
  <c r="I34" i="3" s="1"/>
  <c r="I15" i="2" s="1"/>
  <c r="I40" i="1" l="1"/>
  <c r="J41" i="1" s="1"/>
  <c r="J14" i="1" s="1"/>
  <c r="J33" i="3"/>
  <c r="I16" i="2"/>
  <c r="I18" i="2" s="1"/>
  <c r="I38" i="2" s="1"/>
  <c r="J16" i="1" l="1"/>
  <c r="J6" i="3"/>
  <c r="J25" i="3" s="1"/>
  <c r="J17" i="1" l="1"/>
  <c r="J18" i="1"/>
  <c r="J5" i="3" l="1"/>
  <c r="J17" i="3" s="1"/>
  <c r="J21" i="1"/>
  <c r="J23" i="1"/>
  <c r="J24" i="3" s="1"/>
  <c r="J30" i="3" s="1"/>
  <c r="J23" i="2"/>
  <c r="J24" i="2" l="1"/>
  <c r="J36" i="2" s="1"/>
  <c r="J32" i="3"/>
  <c r="J34" i="3" s="1"/>
  <c r="J15" i="2" s="1"/>
  <c r="J40" i="1" l="1"/>
  <c r="K41" i="1" s="1"/>
  <c r="K14" i="1" s="1"/>
  <c r="K33" i="3"/>
  <c r="J16" i="2"/>
  <c r="J18" i="2" s="1"/>
  <c r="J38" i="2" s="1"/>
  <c r="K16" i="1" l="1"/>
  <c r="K6" i="3"/>
  <c r="K25" i="3" s="1"/>
  <c r="K17" i="1" l="1"/>
  <c r="K18" i="1"/>
  <c r="K5" i="3" l="1"/>
  <c r="K17" i="3" s="1"/>
  <c r="K21" i="1"/>
  <c r="K23" i="1"/>
  <c r="K24" i="3" s="1"/>
  <c r="K30" i="3" s="1"/>
  <c r="K23" i="2"/>
  <c r="K24" i="2" l="1"/>
  <c r="K36" i="2" s="1"/>
  <c r="K32" i="3"/>
  <c r="K34" i="3" s="1"/>
  <c r="K15" i="2" s="1"/>
  <c r="K40" i="1" l="1"/>
  <c r="L41" i="1" s="1"/>
  <c r="L14" i="1" s="1"/>
  <c r="L6" i="3" s="1"/>
  <c r="L33" i="3"/>
  <c r="K16" i="2"/>
  <c r="K18" i="2" s="1"/>
  <c r="K38" i="2" s="1"/>
  <c r="L16" i="1" l="1"/>
  <c r="L17" i="1" l="1"/>
  <c r="L18" i="1"/>
  <c r="L5" i="3" s="1"/>
  <c r="L21" i="1" l="1"/>
  <c r="L23" i="1"/>
  <c r="L24" i="3" l="1"/>
  <c r="L23" i="2"/>
  <c r="L24" i="2" s="1"/>
  <c r="L36" i="2" s="1"/>
  <c r="L15" i="2"/>
  <c r="L16" i="2" s="1"/>
  <c r="L18" i="2" s="1"/>
  <c r="L40" i="1" l="1"/>
  <c r="L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<sst xmlns="http://schemas.openxmlformats.org/spreadsheetml/2006/main" count="263" uniqueCount="241">
  <si>
    <t>Ltd Income Statement</t>
  </si>
  <si>
    <t>All numbers are in £ millions except per share data</t>
  </si>
  <si>
    <t>Revenues</t>
  </si>
  <si>
    <t>= Last year Rev * (1+Rev Yoy)</t>
  </si>
  <si>
    <t>=V5*(1+W9)</t>
  </si>
  <si>
    <t>Cost of sales</t>
  </si>
  <si>
    <t>= COGS margin * Revenue</t>
  </si>
  <si>
    <t>COGS</t>
  </si>
  <si>
    <t>=W5*W10</t>
  </si>
  <si>
    <t>Gross profit</t>
  </si>
  <si>
    <t>= Revenues * Cost of Sales</t>
  </si>
  <si>
    <t>=W5-W6</t>
  </si>
  <si>
    <t>Selling and administrative expenses</t>
  </si>
  <si>
    <t>= SG&amp;A margin * Revenue</t>
  </si>
  <si>
    <t>Other operating income</t>
  </si>
  <si>
    <t>= Other income margin * Revenue</t>
  </si>
  <si>
    <t xml:space="preserve">Revenue YoY </t>
  </si>
  <si>
    <t>Averages for revenue growth in the real world</t>
  </si>
  <si>
    <t>Other operating expenses</t>
  </si>
  <si>
    <t>= Other operating margin * Revenue</t>
  </si>
  <si>
    <t>COGS margin</t>
  </si>
  <si>
    <t>Typically all of the expenses on the income statement is forecasted using margins</t>
  </si>
  <si>
    <t>EBITDA</t>
  </si>
  <si>
    <t xml:space="preserve">= GP + S&amp;A Exp + op. inc. + op. exp. </t>
  </si>
  <si>
    <t>D&amp;A</t>
  </si>
  <si>
    <t>= Ammortization + Depreciation from BS</t>
  </si>
  <si>
    <t>EBIT</t>
  </si>
  <si>
    <t>= EBITDA + D&amp;A</t>
  </si>
  <si>
    <t>Colour Code</t>
  </si>
  <si>
    <t>Interest and similar income</t>
  </si>
  <si>
    <t>=H41</t>
  </si>
  <si>
    <t>Type</t>
  </si>
  <si>
    <t>Text colour</t>
  </si>
  <si>
    <t>Interest and similar expenses</t>
  </si>
  <si>
    <t>= H37</t>
  </si>
  <si>
    <t>Hardcoded</t>
  </si>
  <si>
    <t>Blue</t>
  </si>
  <si>
    <t>Profit / loss before tax</t>
  </si>
  <si>
    <t>= EBIT + Int. &amp; similar income + Int. &amp; similar expenses</t>
  </si>
  <si>
    <t>Formula</t>
  </si>
  <si>
    <t>Black</t>
  </si>
  <si>
    <t>Income taxes</t>
  </si>
  <si>
    <t>= Profit/Loss before tax * Income Tax Rate</t>
  </si>
  <si>
    <t>Link from another sheet</t>
  </si>
  <si>
    <t>Green</t>
  </si>
  <si>
    <t>Net profit / loss</t>
  </si>
  <si>
    <t>= Profit/Loss before tax + Income taxes</t>
  </si>
  <si>
    <t>Link from the same sheet</t>
  </si>
  <si>
    <t>Pink or black</t>
  </si>
  <si>
    <t>Number of shares outstanding</t>
  </si>
  <si>
    <t>= Assuming share count increment is 100 every year</t>
  </si>
  <si>
    <t>EPS (Earnings per share)</t>
  </si>
  <si>
    <t>= Net profit or loss / Number of shares outstanding</t>
  </si>
  <si>
    <t>Dividends</t>
  </si>
  <si>
    <t>= Dividend payout ratio * Net profit/loss</t>
  </si>
  <si>
    <t>Dividend payout ratio</t>
  </si>
  <si>
    <t>Ratios and Assumptions</t>
  </si>
  <si>
    <t>Revenue YoY</t>
  </si>
  <si>
    <t>=(Rev year 2/Rev year 1) -1</t>
  </si>
  <si>
    <t>=Cost of Sales / Revenue</t>
  </si>
  <si>
    <t>SG&amp;A margin</t>
  </si>
  <si>
    <t>= SG&amp;A expenses / Revenue</t>
  </si>
  <si>
    <t>Other income margin</t>
  </si>
  <si>
    <t>= Other operating income / Revenue</t>
  </si>
  <si>
    <t>Other expense margin</t>
  </si>
  <si>
    <t>= Other operating expenses / Revenue</t>
  </si>
  <si>
    <t>D&amp;A margin</t>
  </si>
  <si>
    <t>LT Debt</t>
  </si>
  <si>
    <t>= both LT and ST from BS</t>
  </si>
  <si>
    <t>ST Debt</t>
  </si>
  <si>
    <t>Total Debt</t>
  </si>
  <si>
    <t>= LT Debt + ST Debt</t>
  </si>
  <si>
    <t>Interest expense</t>
  </si>
  <si>
    <t>= Interest expense rate year 2 * Total Debt year 1</t>
  </si>
  <si>
    <t>Interest expense rate</t>
  </si>
  <si>
    <t>= Interest expense year 2 / Total Debt year 1</t>
  </si>
  <si>
    <t>Cash and cash equivalents</t>
  </si>
  <si>
    <t>= BS!C15</t>
  </si>
  <si>
    <t xml:space="preserve">Interest income </t>
  </si>
  <si>
    <t>Interest income rate</t>
  </si>
  <si>
    <t>Income tax rate</t>
  </si>
  <si>
    <t>= Income taxes / Profit or loss before tax</t>
  </si>
  <si>
    <t>Ltd Balance Sheet</t>
  </si>
  <si>
    <t>Assets</t>
  </si>
  <si>
    <t>Intangible assets</t>
  </si>
  <si>
    <t>= H71 = Ending Intangibles</t>
  </si>
  <si>
    <t>Property, plant and equipment</t>
  </si>
  <si>
    <t>= H80 = Ending PP&amp;E</t>
  </si>
  <si>
    <t>Deferred tax</t>
  </si>
  <si>
    <t>= SL</t>
  </si>
  <si>
    <t>Other assets</t>
  </si>
  <si>
    <t>Non-current assets</t>
  </si>
  <si>
    <t>= Assets (sum all)</t>
  </si>
  <si>
    <t>Inventories</t>
  </si>
  <si>
    <t xml:space="preserve">= H42 </t>
  </si>
  <si>
    <t>Trade receivables</t>
  </si>
  <si>
    <t>= H43</t>
  </si>
  <si>
    <t>= H44</t>
  </si>
  <si>
    <t>=CF!H34</t>
  </si>
  <si>
    <t>Current Assets</t>
  </si>
  <si>
    <t>= Sum (Inventories : Cash and cash equivalents)</t>
  </si>
  <si>
    <t>Total Assets</t>
  </si>
  <si>
    <t>= Non-current assets + Current Assets</t>
  </si>
  <si>
    <t xml:space="preserve">Equity and liabilities </t>
  </si>
  <si>
    <t>Subscribed capital</t>
  </si>
  <si>
    <t>Capital reserves</t>
  </si>
  <si>
    <t>Retained Earnings</t>
  </si>
  <si>
    <t>= Retained Earnings prev. year + Net Profit or loss - Dividends</t>
  </si>
  <si>
    <t>Equity</t>
  </si>
  <si>
    <t>= Sum all Equities and liabilities</t>
  </si>
  <si>
    <t>Pension provisions</t>
  </si>
  <si>
    <t>Long Term Debt</t>
  </si>
  <si>
    <t>= H89 = Ending LT Debt</t>
  </si>
  <si>
    <t>Other liabilities</t>
  </si>
  <si>
    <t>Non-current provisions and liabilities</t>
  </si>
  <si>
    <t>= Pension provisions + Deferred tax + LT Debt + Other liabilities</t>
  </si>
  <si>
    <t>Current tax</t>
  </si>
  <si>
    <t>Short term debt</t>
  </si>
  <si>
    <t>= H95 = Ending ST Debt</t>
  </si>
  <si>
    <t>Trade payables</t>
  </si>
  <si>
    <t>= H46</t>
  </si>
  <si>
    <t>= H47</t>
  </si>
  <si>
    <t>Current provisions and liabilities</t>
  </si>
  <si>
    <t>= Current tax + ST Debt + Trade payables + Other liabilities</t>
  </si>
  <si>
    <t>Total equity and liabilities</t>
  </si>
  <si>
    <t>= Equity + Non-current provisions and liabilities + Current provision and liabilites</t>
  </si>
  <si>
    <t>check</t>
  </si>
  <si>
    <t>Working capital</t>
  </si>
  <si>
    <t>= Cost of Sales * Inventories as a % of COGS</t>
  </si>
  <si>
    <t>= Revenue * Trade receivables as a % of revenue</t>
  </si>
  <si>
    <t>= Revenue * Other assets as a % or revenue</t>
  </si>
  <si>
    <t>= Cost of Sales*Trade payables as a % of COGS</t>
  </si>
  <si>
    <t>= Other liabilities as a % of revenue * Revenues</t>
  </si>
  <si>
    <t xml:space="preserve">Working capital </t>
  </si>
  <si>
    <t>Working capital as a % of Revenue</t>
  </si>
  <si>
    <t>Inventories as a % of COGS</t>
  </si>
  <si>
    <t>= Inventories / Cost of Sales</t>
  </si>
  <si>
    <t>What if these values go up? What does it mean?</t>
  </si>
  <si>
    <t>Trade receivables as a % of revenue</t>
  </si>
  <si>
    <t>= Trade receivables / Revenue</t>
  </si>
  <si>
    <t>Other assets as a % of revenue</t>
  </si>
  <si>
    <t>= Other assets/Revenue</t>
  </si>
  <si>
    <t>Trade payables as a % of COGS</t>
  </si>
  <si>
    <t>= Trade Payables/Cost of Sales</t>
  </si>
  <si>
    <t>Other liabilities as a % of revenue</t>
  </si>
  <si>
    <t>= Other Liabilities/Revenue</t>
  </si>
  <si>
    <t>Days of inventories outstanding</t>
  </si>
  <si>
    <t>Days of receivables outstanding</t>
  </si>
  <si>
    <t>Days of Payables outstanding</t>
  </si>
  <si>
    <t>Cash on Cash Cycle</t>
  </si>
  <si>
    <t>Intangible assets schedule</t>
  </si>
  <si>
    <t>Beginning intangibles</t>
  </si>
  <si>
    <t>= G71 for H col = Ending Intangibles previous year</t>
  </si>
  <si>
    <t>Additions to intangibles</t>
  </si>
  <si>
    <t>= Additions to intangibles as a % of Revenue * Revenue</t>
  </si>
  <si>
    <t>Amortisation</t>
  </si>
  <si>
    <t>= Beginning Intangibles * Amortisation as a % of opening intangibles</t>
  </si>
  <si>
    <t>Ending Intangibles</t>
  </si>
  <si>
    <t>= Beginning intangibles + Additions to intangibles + Amortisation</t>
  </si>
  <si>
    <t>Additions to intangibles as % of Revenue</t>
  </si>
  <si>
    <t>= Additions to Intangibles / Revenue</t>
  </si>
  <si>
    <t>Amortisation as % of opening intangibles</t>
  </si>
  <si>
    <t>= Amortisation / Beginning intangibles</t>
  </si>
  <si>
    <t>PP&amp;E schedule</t>
  </si>
  <si>
    <t>Beginning PP&amp;E</t>
  </si>
  <si>
    <t>= G80 for H col = Ending PP&amp;E previous year</t>
  </si>
  <si>
    <t>Capex</t>
  </si>
  <si>
    <t>= Capex as a % of Revenue * Revenue</t>
  </si>
  <si>
    <t>Depreciation</t>
  </si>
  <si>
    <t>= Depreciation as % of Opening PP&amp;E * Beginning PP&amp;E</t>
  </si>
  <si>
    <t>Ending PP&amp;E</t>
  </si>
  <si>
    <t>= Beginning PP&amp;E + Capex + Depreciation</t>
  </si>
  <si>
    <t>Capex as % of Revenue</t>
  </si>
  <si>
    <t>= Capex / Revenue</t>
  </si>
  <si>
    <t>Depreciation as % of Opening PP&amp;E</t>
  </si>
  <si>
    <t>= Depreciation / Beginning PP&amp;E</t>
  </si>
  <si>
    <t>LT Debt schedule</t>
  </si>
  <si>
    <t>Beginning LT debt</t>
  </si>
  <si>
    <t>= G89 for H col = Ending LT Debt previous year</t>
  </si>
  <si>
    <t>Borrowed</t>
  </si>
  <si>
    <t>HC</t>
  </si>
  <si>
    <t>Paid back</t>
  </si>
  <si>
    <t>Ending LT Debt</t>
  </si>
  <si>
    <t>= Beginning LT debt + Borrowed + Paid Back</t>
  </si>
  <si>
    <t>ST Debt schedule</t>
  </si>
  <si>
    <t>Beginning ST debt</t>
  </si>
  <si>
    <t>= G95 for H col = Ending ST Debt previous year</t>
  </si>
  <si>
    <t>Ending ST Debt</t>
  </si>
  <si>
    <t>= Beginning ST debt + Borrowed + Paid Back</t>
  </si>
  <si>
    <t>Limited Cash flow statement</t>
  </si>
  <si>
    <r>
      <t xml:space="preserve">All numbers in </t>
    </r>
    <r>
      <rPr>
        <i/>
        <sz val="11"/>
        <color theme="1"/>
        <rFont val="Calibri"/>
        <family val="2"/>
      </rPr>
      <t xml:space="preserve">€ </t>
    </r>
    <r>
      <rPr>
        <i/>
        <sz val="11"/>
        <color theme="1"/>
        <rFont val="Calibri"/>
        <family val="2"/>
        <scheme val="minor"/>
      </rPr>
      <t>million except for per share data</t>
    </r>
  </si>
  <si>
    <t>Net profit</t>
  </si>
  <si>
    <t>= From IS</t>
  </si>
  <si>
    <t>Other interest and similar income / expenses 1</t>
  </si>
  <si>
    <t>= Interest and similar income + Interest and similar expenses (from IS)</t>
  </si>
  <si>
    <t>Depreciation and amortisation of tangible, intangible and investment assets</t>
  </si>
  <si>
    <t>= - D&amp;A</t>
  </si>
  <si>
    <t>Change in provisions</t>
  </si>
  <si>
    <t>Change in deferred taxes</t>
  </si>
  <si>
    <t>CFO</t>
  </si>
  <si>
    <t>Changes in working capital</t>
  </si>
  <si>
    <t>CFI</t>
  </si>
  <si>
    <t>Change in inventories</t>
  </si>
  <si>
    <t>= Inventories year 1 - Inventories year 2 (from BS)</t>
  </si>
  <si>
    <t>CFF</t>
  </si>
  <si>
    <t>Change in trade receivables</t>
  </si>
  <si>
    <t>= trade receivables year 1 - trade receivablesyear 2 (from BS)</t>
  </si>
  <si>
    <t>CFO + CFI = FCFF</t>
  </si>
  <si>
    <t>Change in other operating assets</t>
  </si>
  <si>
    <t>= Other operating assets year 1 - Other operating assets year 2 (from BS)</t>
  </si>
  <si>
    <t>Change in trade payables</t>
  </si>
  <si>
    <t>= trade payables year 2 - year 1</t>
  </si>
  <si>
    <t>Assets go up, cash goes down</t>
  </si>
  <si>
    <t>Change in other operating liabilities</t>
  </si>
  <si>
    <t>=other operating liabilities year 2 - year 1</t>
  </si>
  <si>
    <t>ex) when buying PP&amp;E, you buy in cash</t>
  </si>
  <si>
    <t>Cash inflow / outflow from operating activities</t>
  </si>
  <si>
    <t>Liabilities up, Cash up</t>
  </si>
  <si>
    <t xml:space="preserve">Investments in intangible assets </t>
  </si>
  <si>
    <t>= - Addition to Intangibles (from BS)</t>
  </si>
  <si>
    <t>Capex (PP&amp;E Purchase)</t>
  </si>
  <si>
    <t>= -Capex (from BS)</t>
  </si>
  <si>
    <t>Other changes to investments</t>
  </si>
  <si>
    <t>Cash inflow / outflow from investing activities</t>
  </si>
  <si>
    <t xml:space="preserve">Payment of dividend </t>
  </si>
  <si>
    <t>= - Dividends (from IS)</t>
  </si>
  <si>
    <t>Interest paid</t>
  </si>
  <si>
    <t>= - H6</t>
  </si>
  <si>
    <t>Proceeds from the issue of bonds</t>
  </si>
  <si>
    <t>= Borrowed LT Debt (from BS)</t>
  </si>
  <si>
    <t>Repayment of bonds</t>
  </si>
  <si>
    <t>Other changes to LT liabilities</t>
  </si>
  <si>
    <t>Change in ST Debt</t>
  </si>
  <si>
    <t>= Borrowed ST Debt (from BS)</t>
  </si>
  <si>
    <t>Cash inflow / outflow from financing activities</t>
  </si>
  <si>
    <t>Change in cash and cash equivalents</t>
  </si>
  <si>
    <t>= CFO + CFI + CFF</t>
  </si>
  <si>
    <t>Cash and cash equivalents as at 1 January</t>
  </si>
  <si>
    <t>= Cash and cash equivalents previous year</t>
  </si>
  <si>
    <t>Cash and cash equivalents as at 31 December</t>
  </si>
  <si>
    <t>= ending cash balance = Beginning cash balance + Change in cash (CFO + CFI + CFF)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</si>
</sst>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&quot;E&quot;"/>
    <numFmt numFmtId="166" formatCode="0.0%"/>
    <numFmt numFmtId="167" formatCode="0.0"/>
    <numFmt numFmtId="168" formatCode="_-* #,##0_-;\-* #,##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/>
    <xf numFmtId="0" fontId="4" fillId="2" borderId="2" xfId="0" applyFont="1" applyFill="1" applyBorder="1"/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3" fontId="5" fillId="0" borderId="0" xfId="0" applyNumberFormat="1" applyFont="1"/>
    <xf numFmtId="3" fontId="6" fillId="0" borderId="0" xfId="0" applyNumberFormat="1" applyFont="1"/>
    <xf numFmtId="3" fontId="7" fillId="0" borderId="1" xfId="0" applyNumberFormat="1" applyFont="1" applyBorder="1"/>
    <xf numFmtId="3" fontId="8" fillId="0" borderId="0" xfId="0" applyNumberFormat="1" applyFont="1"/>
    <xf numFmtId="3" fontId="0" fillId="0" borderId="0" xfId="0" applyNumberFormat="1"/>
    <xf numFmtId="0" fontId="9" fillId="0" borderId="3" xfId="0" applyFont="1" applyBorder="1"/>
    <xf numFmtId="0" fontId="0" fillId="0" borderId="4" xfId="0" applyBorder="1"/>
    <xf numFmtId="0" fontId="0" fillId="0" borderId="5" xfId="0" applyBorder="1"/>
    <xf numFmtId="0" fontId="10" fillId="0" borderId="0" xfId="0" applyFont="1"/>
    <xf numFmtId="2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/>
    <xf numFmtId="0" fontId="4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9" fillId="0" borderId="6" xfId="0" applyFont="1" applyBorder="1"/>
    <xf numFmtId="0" fontId="0" fillId="0" borderId="7" xfId="0" applyBorder="1"/>
    <xf numFmtId="0" fontId="0" fillId="0" borderId="8" xfId="0" applyBorder="1"/>
    <xf numFmtId="0" fontId="11" fillId="2" borderId="2" xfId="0" applyFont="1" applyFill="1" applyBorder="1"/>
    <xf numFmtId="0" fontId="12" fillId="0" borderId="0" xfId="0" applyFont="1"/>
    <xf numFmtId="0" fontId="5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166" fontId="0" fillId="0" borderId="0" xfId="0" applyNumberFormat="1"/>
    <xf numFmtId="166" fontId="6" fillId="0" borderId="0" xfId="0" applyNumberFormat="1" applyFont="1" applyAlignment="1">
      <alignment horizontal="center"/>
    </xf>
    <xf numFmtId="166" fontId="0" fillId="0" borderId="0" xfId="1" applyNumberFormat="1" applyFont="1"/>
    <xf numFmtId="167" fontId="0" fillId="0" borderId="0" xfId="0" applyNumberFormat="1"/>
    <xf numFmtId="167" fontId="0" fillId="0" borderId="1" xfId="0" applyNumberFormat="1" applyBorder="1"/>
    <xf numFmtId="0" fontId="14" fillId="0" borderId="0" xfId="0" applyFont="1"/>
    <xf numFmtId="0" fontId="3" fillId="3" borderId="0" xfId="0" applyFont="1" applyFill="1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3" fontId="3" fillId="0" borderId="1" xfId="0" applyNumberFormat="1" applyFont="1" applyBorder="1"/>
    <xf numFmtId="0" fontId="0" fillId="0" borderId="0" xfId="0" applyAlignment="1">
      <alignment horizontal="left" indent="2"/>
    </xf>
    <xf numFmtId="0" fontId="15" fillId="0" borderId="3" xfId="0" applyFont="1" applyBorder="1"/>
    <xf numFmtId="166" fontId="6" fillId="0" borderId="0" xfId="0" applyNumberFormat="1" applyFont="1"/>
    <xf numFmtId="3" fontId="6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quotePrefix="1"/>
    <xf numFmtId="3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right"/>
    </xf>
    <xf numFmtId="1" fontId="3" fillId="0" borderId="1" xfId="0" applyNumberFormat="1" applyFont="1" applyBorder="1"/>
    <xf numFmtId="3" fontId="18" fillId="0" borderId="1" xfId="0" applyNumberFormat="1" applyFont="1" applyBorder="1"/>
    <xf numFmtId="166" fontId="17" fillId="0" borderId="0" xfId="0" applyNumberFormat="1" applyFont="1"/>
    <xf numFmtId="166" fontId="5" fillId="0" borderId="0" xfId="0" applyNumberFormat="1" applyFont="1"/>
    <xf numFmtId="3" fontId="0" fillId="0" borderId="1" xfId="0" applyNumberFormat="1" applyBorder="1"/>
    <xf numFmtId="165" fontId="2" fillId="4" borderId="2" xfId="0" applyNumberFormat="1" applyFont="1" applyFill="1" applyBorder="1" applyAlignment="1">
      <alignment horizontal="center"/>
    </xf>
    <xf numFmtId="168" fontId="0" fillId="0" borderId="0" xfId="2" applyNumberFormat="1" applyFont="1"/>
    <xf numFmtId="168" fontId="3" fillId="0" borderId="1" xfId="2" applyNumberFormat="1" applyFont="1" applyBorder="1"/>
    <xf numFmtId="0" fontId="0" fillId="5" borderId="0" xfId="0" applyFill="1"/>
    <xf numFmtId="166" fontId="0" fillId="7" borderId="0" xfId="0" applyNumberFormat="1" applyFill="1"/>
    <xf numFmtId="166" fontId="19" fillId="7" borderId="0" xfId="0" applyNumberFormat="1" applyFont="1" applyFill="1"/>
    <xf numFmtId="166" fontId="0" fillId="6" borderId="0" xfId="0" applyNumberFormat="1" applyFill="1"/>
    <xf numFmtId="166" fontId="19" fillId="6" borderId="0" xfId="0" applyNumberFormat="1" applyFont="1" applyFill="1"/>
    <xf numFmtId="3" fontId="20" fillId="0" borderId="0" xfId="0" applyNumberFormat="1" applyFont="1" applyAlignment="1">
      <alignment horizontal="right"/>
    </xf>
    <xf numFmtId="3" fontId="21" fillId="0" borderId="0" xfId="0" applyNumberFormat="1" applyFont="1"/>
    <xf numFmtId="0" fontId="0" fillId="8" borderId="0" xfId="0" applyFill="1"/>
    <xf numFmtId="3" fontId="8" fillId="8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3" fontId="6" fillId="8" borderId="0" xfId="0" applyNumberFormat="1" applyFont="1" applyFill="1" applyAlignment="1">
      <alignment horizontal="right"/>
    </xf>
    <xf numFmtId="3" fontId="7" fillId="10" borderId="1" xfId="0" applyNumberFormat="1" applyFont="1" applyFill="1" applyBorder="1" applyAlignment="1">
      <alignment horizontal="right"/>
    </xf>
    <xf numFmtId="3" fontId="6" fillId="11" borderId="0" xfId="0" applyNumberFormat="1" applyFont="1" applyFill="1" applyAlignment="1">
      <alignment horizontal="right"/>
    </xf>
    <xf numFmtId="166" fontId="19" fillId="0" borderId="0" xfId="0" applyNumberFormat="1" applyFont="1"/>
    <xf numFmtId="166" fontId="0" fillId="11" borderId="0" xfId="0" applyNumberFormat="1" applyFill="1"/>
    <xf numFmtId="3" fontId="0" fillId="11" borderId="0" xfId="0" applyNumberFormat="1" applyFill="1"/>
    <xf numFmtId="3" fontId="6" fillId="11" borderId="0" xfId="0" applyNumberFormat="1" applyFont="1" applyFill="1"/>
    <xf numFmtId="3" fontId="3" fillId="11" borderId="1" xfId="0" applyNumberFormat="1" applyFont="1" applyFill="1" applyBorder="1"/>
    <xf numFmtId="3" fontId="3" fillId="10" borderId="1" xfId="0" applyNumberFormat="1" applyFont="1" applyFill="1" applyBorder="1"/>
    <xf numFmtId="3" fontId="3" fillId="12" borderId="1" xfId="0" applyNumberFormat="1" applyFont="1" applyFill="1" applyBorder="1"/>
    <xf numFmtId="166" fontId="0" fillId="13" borderId="0" xfId="0" applyNumberFormat="1" applyFill="1"/>
    <xf numFmtId="3" fontId="7" fillId="10" borderId="1" xfId="0" applyNumberFormat="1" applyFont="1" applyFill="1" applyBorder="1"/>
    <xf numFmtId="3" fontId="0" fillId="9" borderId="0" xfId="0" applyNumberFormat="1" applyFill="1"/>
    <xf numFmtId="166" fontId="0" fillId="9" borderId="0" xfId="0" applyNumberFormat="1" applyFill="1"/>
    <xf numFmtId="3" fontId="0" fillId="14" borderId="1" xfId="0" applyNumberFormat="1" applyFill="1" applyBorder="1"/>
    <xf numFmtId="3" fontId="3" fillId="9" borderId="1" xfId="0" applyNumberFormat="1" applyFont="1" applyFill="1" applyBorder="1"/>
    <xf numFmtId="0" fontId="0" fillId="8" borderId="0" xfId="0" quotePrefix="1" applyFill="1"/>
    <xf numFmtId="167" fontId="0" fillId="0" borderId="0" xfId="0" quotePrefix="1" applyNumberFormat="1"/>
    <xf numFmtId="3" fontId="0" fillId="0" borderId="0" xfId="0" quotePrefix="1" applyNumberFormat="1"/>
    <xf numFmtId="0" fontId="0" fillId="15" borderId="0" xfId="0" applyFill="1"/>
    <xf numFmtId="166" fontId="0" fillId="15" borderId="0" xfId="0" applyNumberFormat="1" applyFill="1"/>
    <xf numFmtId="3" fontId="22" fillId="0" borderId="0" xfId="0" quotePrefix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36F5-97B9-401C-A7DF-8CFD91118B2D}">
  <dimension ref="A1:AB53"/>
  <sheetViews>
    <sheetView showGridLines="0" zoomScale="145" zoomScaleNormal="145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RowHeight="14.45"/>
  <cols>
    <col min="1" max="1" width="5.42578125" customWidth="1"/>
    <col min="2" max="2" width="40.7109375" bestFit="1" customWidth="1"/>
    <col min="16" max="16" width="15" customWidth="1"/>
    <col min="17" max="17" width="31.5703125" customWidth="1"/>
    <col min="18" max="22" width="9.28515625" bestFit="1" customWidth="1"/>
  </cols>
  <sheetData>
    <row r="1" spans="1:28" ht="21.6" thickBo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28">
      <c r="A2" s="14" t="s">
        <v>1</v>
      </c>
    </row>
    <row r="3" spans="1:28" ht="15" thickBot="1"/>
    <row r="4" spans="1:28" ht="15" thickBot="1">
      <c r="B4" s="3"/>
      <c r="C4" s="4">
        <v>2021</v>
      </c>
      <c r="D4" s="4">
        <f>C4+1</f>
        <v>2022</v>
      </c>
      <c r="E4" s="4">
        <f t="shared" ref="E4:L4" si="0">D4+1</f>
        <v>2023</v>
      </c>
      <c r="F4" s="4">
        <f t="shared" si="0"/>
        <v>2024</v>
      </c>
      <c r="G4" s="4">
        <f t="shared" si="0"/>
        <v>2025</v>
      </c>
      <c r="H4" s="5">
        <f t="shared" si="0"/>
        <v>2026</v>
      </c>
      <c r="I4" s="5">
        <f t="shared" si="0"/>
        <v>2027</v>
      </c>
      <c r="J4" s="5">
        <f t="shared" si="0"/>
        <v>2028</v>
      </c>
      <c r="K4" s="5">
        <f t="shared" si="0"/>
        <v>2029</v>
      </c>
      <c r="L4" s="5">
        <f t="shared" si="0"/>
        <v>2030</v>
      </c>
      <c r="R4" s="60">
        <v>2021</v>
      </c>
      <c r="S4" s="60">
        <f>R4+1</f>
        <v>2022</v>
      </c>
      <c r="T4" s="60">
        <f t="shared" ref="T4:V4" si="1">S4+1</f>
        <v>2023</v>
      </c>
      <c r="U4" s="60">
        <f t="shared" si="1"/>
        <v>2024</v>
      </c>
      <c r="V4" s="60">
        <f t="shared" si="1"/>
        <v>2025</v>
      </c>
      <c r="W4" s="60">
        <f t="shared" ref="W4" si="2">V4+1</f>
        <v>2026</v>
      </c>
      <c r="X4" s="60">
        <f t="shared" ref="X4" si="3">W4+1</f>
        <v>2027</v>
      </c>
      <c r="Y4" s="60">
        <f t="shared" ref="Y4" si="4">X4+1</f>
        <v>2028</v>
      </c>
      <c r="Z4" s="60">
        <f t="shared" ref="Z4" si="5">Y4+1</f>
        <v>2029</v>
      </c>
    </row>
    <row r="5" spans="1:28">
      <c r="B5" s="1" t="s">
        <v>2</v>
      </c>
      <c r="C5" s="6">
        <v>92175</v>
      </c>
      <c r="D5" s="6">
        <v>94163</v>
      </c>
      <c r="E5" s="6">
        <v>98282</v>
      </c>
      <c r="F5" s="6">
        <v>96855</v>
      </c>
      <c r="G5" s="6">
        <v>104210</v>
      </c>
      <c r="H5" s="7">
        <f xml:space="preserve"> G5*(1+H27)</f>
        <v>109420.5</v>
      </c>
      <c r="I5" s="7">
        <f t="shared" ref="I5:L5" si="6" xml:space="preserve"> H5*(1+I27)</f>
        <v>114891.52500000001</v>
      </c>
      <c r="J5" s="7">
        <f t="shared" si="6"/>
        <v>120636.10125000002</v>
      </c>
      <c r="K5" s="7">
        <f t="shared" si="6"/>
        <v>126667.90631250002</v>
      </c>
      <c r="L5" s="7">
        <f t="shared" si="6"/>
        <v>133001.30162812505</v>
      </c>
      <c r="M5" s="49" t="s">
        <v>3</v>
      </c>
      <c r="Q5" t="s">
        <v>2</v>
      </c>
      <c r="R5" s="58">
        <v>1000</v>
      </c>
      <c r="S5" s="58">
        <v>1100</v>
      </c>
      <c r="T5" s="58">
        <v>1200</v>
      </c>
      <c r="U5" s="58">
        <v>1300</v>
      </c>
      <c r="V5" s="58">
        <v>1450</v>
      </c>
      <c r="W5" s="58">
        <f>V5*(1+W9)</f>
        <v>1595.0000000000002</v>
      </c>
      <c r="X5" s="58">
        <f t="shared" ref="X5:Z5" si="7">W5*(1+X9)</f>
        <v>1754.5000000000005</v>
      </c>
      <c r="Y5" s="58">
        <f t="shared" si="7"/>
        <v>1929.9500000000007</v>
      </c>
      <c r="Z5" s="58">
        <f t="shared" si="7"/>
        <v>2122.9450000000011</v>
      </c>
      <c r="AA5" s="49" t="s">
        <v>4</v>
      </c>
    </row>
    <row r="6" spans="1:28">
      <c r="B6" s="1" t="s">
        <v>5</v>
      </c>
      <c r="C6" s="6">
        <v>-74043</v>
      </c>
      <c r="D6" s="6">
        <v>-75442</v>
      </c>
      <c r="E6" s="6">
        <v>-78329</v>
      </c>
      <c r="F6" s="6">
        <v>-78477</v>
      </c>
      <c r="G6" s="6">
        <v>-83000</v>
      </c>
      <c r="H6" s="7">
        <f xml:space="preserve"> H28*H5</f>
        <v>-87150</v>
      </c>
      <c r="I6" s="7">
        <f t="shared" ref="I6:L6" si="8" xml:space="preserve"> I28*I5</f>
        <v>-91507.5</v>
      </c>
      <c r="J6" s="7">
        <f t="shared" si="8"/>
        <v>-96082.875000000015</v>
      </c>
      <c r="K6" s="7">
        <f t="shared" si="8"/>
        <v>-100887.01875000002</v>
      </c>
      <c r="L6" s="7">
        <f t="shared" si="8"/>
        <v>-105931.36968750003</v>
      </c>
      <c r="M6" s="49" t="s">
        <v>6</v>
      </c>
      <c r="Q6" t="s">
        <v>7</v>
      </c>
      <c r="R6" s="58">
        <v>500</v>
      </c>
      <c r="S6" s="58">
        <v>550</v>
      </c>
      <c r="T6" s="58">
        <v>610</v>
      </c>
      <c r="U6" s="58">
        <v>650</v>
      </c>
      <c r="V6" s="58">
        <v>700</v>
      </c>
      <c r="W6" s="58">
        <f>W5*W10</f>
        <v>770.00000000000011</v>
      </c>
      <c r="X6" s="58">
        <f t="shared" ref="X6:Z6" si="9">X5*X10</f>
        <v>847.00000000000023</v>
      </c>
      <c r="Y6" s="58">
        <f t="shared" si="9"/>
        <v>931.70000000000039</v>
      </c>
      <c r="Z6" s="58">
        <f t="shared" si="9"/>
        <v>1024.8700000000006</v>
      </c>
      <c r="AA6" s="49" t="s">
        <v>8</v>
      </c>
    </row>
    <row r="7" spans="1:28">
      <c r="B7" s="2" t="s">
        <v>9</v>
      </c>
      <c r="C7" s="8">
        <f t="shared" ref="C7:E7" si="10">C5+C6</f>
        <v>18132</v>
      </c>
      <c r="D7" s="8">
        <f t="shared" si="10"/>
        <v>18721</v>
      </c>
      <c r="E7" s="8">
        <f t="shared" si="10"/>
        <v>19953</v>
      </c>
      <c r="F7" s="8">
        <f>F5+F6</f>
        <v>18378</v>
      </c>
      <c r="G7" s="8">
        <f>G5+G6</f>
        <v>21210</v>
      </c>
      <c r="H7" s="8">
        <f>H5+H6</f>
        <v>22270.5</v>
      </c>
      <c r="I7" s="8">
        <f t="shared" ref="I7:L7" si="11">I5+I6</f>
        <v>23384.025000000009</v>
      </c>
      <c r="J7" s="8">
        <f t="shared" si="11"/>
        <v>24553.226250000007</v>
      </c>
      <c r="K7" s="8">
        <f t="shared" si="11"/>
        <v>25780.887562500007</v>
      </c>
      <c r="L7" s="81">
        <f t="shared" si="11"/>
        <v>27069.931940625014</v>
      </c>
      <c r="M7" s="49" t="s">
        <v>10</v>
      </c>
      <c r="Q7" s="2" t="s">
        <v>9</v>
      </c>
      <c r="R7" s="59">
        <f>R5-R6</f>
        <v>500</v>
      </c>
      <c r="S7" s="59">
        <f t="shared" ref="S7:V7" si="12">S5-S6</f>
        <v>550</v>
      </c>
      <c r="T7" s="59">
        <f t="shared" si="12"/>
        <v>590</v>
      </c>
      <c r="U7" s="59">
        <f t="shared" si="12"/>
        <v>650</v>
      </c>
      <c r="V7" s="59">
        <f t="shared" si="12"/>
        <v>750</v>
      </c>
      <c r="W7" s="52">
        <f>W5-W6</f>
        <v>825.00000000000011</v>
      </c>
      <c r="X7" s="52">
        <f t="shared" ref="X7:Z7" si="13">X5-X6</f>
        <v>907.50000000000023</v>
      </c>
      <c r="Y7" s="52">
        <f t="shared" si="13"/>
        <v>998.25000000000034</v>
      </c>
      <c r="Z7" s="52">
        <f t="shared" si="13"/>
        <v>1098.0750000000005</v>
      </c>
      <c r="AA7" s="49" t="s">
        <v>11</v>
      </c>
    </row>
    <row r="8" spans="1:28">
      <c r="B8" s="1" t="s">
        <v>12</v>
      </c>
      <c r="C8" s="6">
        <v>-3633</v>
      </c>
      <c r="D8" s="6">
        <v>-3600</v>
      </c>
      <c r="E8" s="6">
        <v>-3700</v>
      </c>
      <c r="F8" s="6">
        <v>-3800</v>
      </c>
      <c r="G8" s="6">
        <v>-4000</v>
      </c>
      <c r="H8" s="7">
        <f xml:space="preserve"> H29*H5</f>
        <v>-4200</v>
      </c>
      <c r="I8" s="7">
        <f t="shared" ref="I8:L8" si="14" xml:space="preserve"> I29*I5</f>
        <v>-4410</v>
      </c>
      <c r="J8" s="7">
        <f t="shared" si="14"/>
        <v>-4630.5000000000009</v>
      </c>
      <c r="K8" s="7">
        <f t="shared" si="14"/>
        <v>-4862.0250000000005</v>
      </c>
      <c r="L8" s="7">
        <f t="shared" si="14"/>
        <v>-5105.1262500000012</v>
      </c>
      <c r="M8" s="49" t="s">
        <v>13</v>
      </c>
    </row>
    <row r="9" spans="1:28">
      <c r="B9" s="1" t="s">
        <v>14</v>
      </c>
      <c r="C9" s="6">
        <v>914</v>
      </c>
      <c r="D9" s="6">
        <v>670</v>
      </c>
      <c r="E9" s="6">
        <v>720</v>
      </c>
      <c r="F9" s="6">
        <v>774</v>
      </c>
      <c r="G9" s="6">
        <v>1031</v>
      </c>
      <c r="H9" s="7">
        <f>H30*H5</f>
        <v>1082.55</v>
      </c>
      <c r="I9" s="7">
        <f t="shared" ref="I9:L9" si="15">I30*I5</f>
        <v>1136.6775</v>
      </c>
      <c r="J9" s="7">
        <f t="shared" si="15"/>
        <v>1193.5113750000003</v>
      </c>
      <c r="K9" s="7">
        <f t="shared" si="15"/>
        <v>1253.1869437500002</v>
      </c>
      <c r="L9" s="7">
        <f t="shared" si="15"/>
        <v>1315.8462909375005</v>
      </c>
      <c r="M9" s="49" t="s">
        <v>15</v>
      </c>
      <c r="Q9" t="s">
        <v>16</v>
      </c>
      <c r="S9" s="30">
        <f>S5/R5-1</f>
        <v>0.10000000000000009</v>
      </c>
      <c r="T9" s="30">
        <f t="shared" ref="T9:V9" si="16">T5/S5-1</f>
        <v>9.0909090909090828E-2</v>
      </c>
      <c r="U9" s="30">
        <f t="shared" si="16"/>
        <v>8.3333333333333259E-2</v>
      </c>
      <c r="V9" s="30">
        <f t="shared" si="16"/>
        <v>0.11538461538461542</v>
      </c>
      <c r="W9" s="55">
        <v>0.1</v>
      </c>
      <c r="X9" s="55">
        <v>0.1</v>
      </c>
      <c r="Y9" s="55">
        <v>0.1</v>
      </c>
      <c r="Z9" s="55">
        <v>0.1</v>
      </c>
      <c r="AB9" t="s">
        <v>17</v>
      </c>
    </row>
    <row r="10" spans="1:28">
      <c r="B10" s="1" t="s">
        <v>18</v>
      </c>
      <c r="C10" s="6">
        <v>-820</v>
      </c>
      <c r="D10" s="6">
        <v>-847</v>
      </c>
      <c r="E10" s="6">
        <v>-1214</v>
      </c>
      <c r="F10" s="6">
        <v>-651</v>
      </c>
      <c r="G10" s="6">
        <v>-2316</v>
      </c>
      <c r="H10" s="7">
        <f xml:space="preserve"> H31*H5</f>
        <v>-2431.8000000000002</v>
      </c>
      <c r="I10" s="7">
        <f t="shared" ref="I10:L10" si="17" xml:space="preserve"> I31*I5</f>
        <v>-2553.3900000000003</v>
      </c>
      <c r="J10" s="7">
        <f t="shared" si="17"/>
        <v>-2681.0595000000008</v>
      </c>
      <c r="K10" s="7">
        <f t="shared" si="17"/>
        <v>-2815.1124750000008</v>
      </c>
      <c r="L10" s="7">
        <f t="shared" si="17"/>
        <v>-2955.8680987500011</v>
      </c>
      <c r="M10" s="49" t="s">
        <v>19</v>
      </c>
      <c r="Q10" t="s">
        <v>20</v>
      </c>
      <c r="R10" s="30">
        <f>R6/R5</f>
        <v>0.5</v>
      </c>
      <c r="S10" s="30">
        <f t="shared" ref="S10:V10" si="18">S6/S5</f>
        <v>0.5</v>
      </c>
      <c r="T10" s="30">
        <f t="shared" si="18"/>
        <v>0.5083333333333333</v>
      </c>
      <c r="U10" s="30">
        <f t="shared" si="18"/>
        <v>0.5</v>
      </c>
      <c r="V10" s="30">
        <f t="shared" si="18"/>
        <v>0.48275862068965519</v>
      </c>
      <c r="W10" s="55">
        <f>V10</f>
        <v>0.48275862068965519</v>
      </c>
      <c r="X10" s="55">
        <f t="shared" ref="X10:Z10" si="19">W10</f>
        <v>0.48275862068965519</v>
      </c>
      <c r="Y10" s="55">
        <f t="shared" si="19"/>
        <v>0.48275862068965519</v>
      </c>
      <c r="Z10" s="55">
        <f t="shared" si="19"/>
        <v>0.48275862068965519</v>
      </c>
      <c r="AB10" t="s">
        <v>21</v>
      </c>
    </row>
    <row r="11" spans="1:28">
      <c r="B11" s="2" t="s">
        <v>22</v>
      </c>
      <c r="C11" s="8">
        <f t="shared" ref="C11:E11" si="20">SUM(C7:C10)</f>
        <v>14593</v>
      </c>
      <c r="D11" s="8">
        <f t="shared" si="20"/>
        <v>14944</v>
      </c>
      <c r="E11" s="8">
        <f t="shared" si="20"/>
        <v>15759</v>
      </c>
      <c r="F11" s="8">
        <f>SUM(F7:F10)</f>
        <v>14701</v>
      </c>
      <c r="G11" s="8">
        <f>SUM(G7:G10)</f>
        <v>15925</v>
      </c>
      <c r="H11" s="8">
        <f>SUM(H7:H10)</f>
        <v>16721.25</v>
      </c>
      <c r="I11" s="8">
        <f t="shared" ref="I11:L11" si="21">SUM(I7:I10)</f>
        <v>17557.312500000011</v>
      </c>
      <c r="J11" s="8">
        <f t="shared" si="21"/>
        <v>18435.178125000009</v>
      </c>
      <c r="K11" s="8">
        <f t="shared" si="21"/>
        <v>19356.937031250003</v>
      </c>
      <c r="L11" s="81">
        <f t="shared" si="21"/>
        <v>20324.783882812513</v>
      </c>
      <c r="M11" s="49" t="s">
        <v>23</v>
      </c>
    </row>
    <row r="12" spans="1:28">
      <c r="B12" s="1" t="s">
        <v>24</v>
      </c>
      <c r="C12" s="6">
        <v>-3000</v>
      </c>
      <c r="D12" s="6">
        <f>BS!D70+BS!D79</f>
        <v>-4215</v>
      </c>
      <c r="E12" s="6">
        <f>BS!E70+BS!E79</f>
        <v>-5193</v>
      </c>
      <c r="F12" s="6">
        <f>BS!F70+BS!F79</f>
        <v>-6493</v>
      </c>
      <c r="G12" s="6">
        <f>BS!G70+BS!G79</f>
        <v>-8242</v>
      </c>
      <c r="H12" s="7">
        <f>BS!H70+BS!H79</f>
        <v>-8744.7254686244705</v>
      </c>
      <c r="I12" s="7">
        <f>BS!I70+BS!I79</f>
        <v>-9246.8820174893935</v>
      </c>
      <c r="J12" s="7">
        <f>BS!J70+BS!J79</f>
        <v>-9756.8455845285971</v>
      </c>
      <c r="K12" s="7">
        <f>BS!K70+BS!K79</f>
        <v>-10280.56966606732</v>
      </c>
      <c r="L12" s="7">
        <f>BS!L70+BS!L79</f>
        <v>-10822.431519574804</v>
      </c>
      <c r="M12" s="49" t="s">
        <v>25</v>
      </c>
      <c r="N12" s="6"/>
    </row>
    <row r="13" spans="1:28" ht="15">
      <c r="B13" s="2" t="s">
        <v>26</v>
      </c>
      <c r="C13" s="8">
        <f>C11+C12</f>
        <v>11593</v>
      </c>
      <c r="D13" s="8">
        <f t="shared" ref="D13:G13" si="22">D11+D12</f>
        <v>10729</v>
      </c>
      <c r="E13" s="8">
        <f t="shared" si="22"/>
        <v>10566</v>
      </c>
      <c r="F13" s="8">
        <f t="shared" si="22"/>
        <v>8208</v>
      </c>
      <c r="G13" s="8">
        <f t="shared" si="22"/>
        <v>7683</v>
      </c>
      <c r="H13" s="8">
        <f>SUM(H11:H12)</f>
        <v>7976.5245313755295</v>
      </c>
      <c r="I13" s="8">
        <f t="shared" ref="I13:L13" si="23">SUM(I11:I12)</f>
        <v>8310.4304825106174</v>
      </c>
      <c r="J13" s="8">
        <f t="shared" si="23"/>
        <v>8678.3325404714124</v>
      </c>
      <c r="K13" s="8">
        <f t="shared" si="23"/>
        <v>9076.367365182683</v>
      </c>
      <c r="L13" s="81">
        <f t="shared" si="23"/>
        <v>9502.3523632377091</v>
      </c>
      <c r="M13" s="49" t="s">
        <v>27</v>
      </c>
      <c r="R13" t="s">
        <v>28</v>
      </c>
    </row>
    <row r="14" spans="1:28" ht="15">
      <c r="B14" s="1" t="s">
        <v>29</v>
      </c>
      <c r="C14" s="6">
        <v>185</v>
      </c>
      <c r="D14" s="6">
        <v>196</v>
      </c>
      <c r="E14" s="6">
        <v>201</v>
      </c>
      <c r="F14" s="6">
        <v>397</v>
      </c>
      <c r="G14" s="6">
        <v>179</v>
      </c>
      <c r="H14" s="7">
        <f>H41</f>
        <v>196.23317242007468</v>
      </c>
      <c r="I14" s="7">
        <f>I41</f>
        <v>247.25219745711618</v>
      </c>
      <c r="J14" s="7">
        <f t="shared" ref="J14:K14" si="24">J41</f>
        <v>297.21201278929658</v>
      </c>
      <c r="K14" s="7">
        <f t="shared" si="24"/>
        <v>345.89200075652798</v>
      </c>
      <c r="L14" s="7">
        <f>L41</f>
        <v>393.1074478339828</v>
      </c>
      <c r="M14" s="49" t="s">
        <v>30</v>
      </c>
      <c r="N14" s="67"/>
      <c r="R14" t="s">
        <v>31</v>
      </c>
      <c r="U14" t="s">
        <v>32</v>
      </c>
    </row>
    <row r="15" spans="1:28" ht="15">
      <c r="B15" s="1" t="s">
        <v>33</v>
      </c>
      <c r="C15" s="6">
        <v>-618</v>
      </c>
      <c r="D15" s="6">
        <v>-489</v>
      </c>
      <c r="E15" s="6">
        <v>-412</v>
      </c>
      <c r="F15" s="6">
        <v>-386</v>
      </c>
      <c r="G15" s="6">
        <v>-499</v>
      </c>
      <c r="H15" s="7">
        <f>H37</f>
        <v>-627</v>
      </c>
      <c r="I15" s="7">
        <f>I37</f>
        <v>-740</v>
      </c>
      <c r="J15" s="7">
        <f>J37</f>
        <v>-852</v>
      </c>
      <c r="K15" s="7">
        <f>K37</f>
        <v>-965</v>
      </c>
      <c r="L15" s="7">
        <f>L37</f>
        <v>-1078</v>
      </c>
      <c r="M15" s="49" t="s">
        <v>34</v>
      </c>
      <c r="R15" t="s">
        <v>35</v>
      </c>
      <c r="U15" t="s">
        <v>36</v>
      </c>
    </row>
    <row r="16" spans="1:28" ht="15">
      <c r="B16" s="2" t="s">
        <v>37</v>
      </c>
      <c r="C16" s="8">
        <f>C13+C14+C15</f>
        <v>11160</v>
      </c>
      <c r="D16" s="8">
        <f t="shared" ref="D16:G16" si="25">D13+D14+D15</f>
        <v>10436</v>
      </c>
      <c r="E16" s="8">
        <f t="shared" si="25"/>
        <v>10355</v>
      </c>
      <c r="F16" s="8">
        <f t="shared" si="25"/>
        <v>8219</v>
      </c>
      <c r="G16" s="8">
        <f t="shared" si="25"/>
        <v>7363</v>
      </c>
      <c r="H16" s="8">
        <f>SUM(H13:H15)</f>
        <v>7545.7577037956044</v>
      </c>
      <c r="I16" s="8">
        <f t="shared" ref="I16:L16" si="26">SUM(I13:I15)</f>
        <v>7817.6826799677328</v>
      </c>
      <c r="J16" s="8">
        <f t="shared" si="26"/>
        <v>8123.5445532607082</v>
      </c>
      <c r="K16" s="8">
        <f t="shared" si="26"/>
        <v>8457.2593659392114</v>
      </c>
      <c r="L16" s="81">
        <f t="shared" si="26"/>
        <v>8817.4598110716925</v>
      </c>
      <c r="M16" s="86" t="s">
        <v>38</v>
      </c>
      <c r="R16" t="s">
        <v>39</v>
      </c>
      <c r="U16" t="s">
        <v>40</v>
      </c>
    </row>
    <row r="17" spans="2:21" ht="15">
      <c r="B17" s="1" t="s">
        <v>41</v>
      </c>
      <c r="C17" s="6">
        <f>(0.32*C16)/-1</f>
        <v>-3571.2000000000003</v>
      </c>
      <c r="D17" s="6">
        <f>(0.3*D16)/-1</f>
        <v>-3130.7999999999997</v>
      </c>
      <c r="E17" s="6">
        <f>(0.28*E16)/-1</f>
        <v>-2899.4</v>
      </c>
      <c r="F17" s="6">
        <f>(0.32*F16)/-1</f>
        <v>-2630.08</v>
      </c>
      <c r="G17" s="6">
        <f>(0.31*G16)/-1</f>
        <v>-2282.5300000000002</v>
      </c>
      <c r="H17" s="7">
        <f>H16*H44</f>
        <v>-2339.1848881766373</v>
      </c>
      <c r="I17" s="7">
        <f>I16*I44</f>
        <v>-2423.4816307899973</v>
      </c>
      <c r="J17" s="7">
        <f>J16*J44</f>
        <v>-2518.2988115108196</v>
      </c>
      <c r="K17" s="7">
        <f>K16*K44</f>
        <v>-2621.7504034411554</v>
      </c>
      <c r="L17" s="7">
        <f>L16*L44</f>
        <v>-2733.4125414322248</v>
      </c>
      <c r="M17" s="49" t="s">
        <v>42</v>
      </c>
      <c r="R17" t="s">
        <v>43</v>
      </c>
      <c r="U17" t="s">
        <v>44</v>
      </c>
    </row>
    <row r="18" spans="2:21" ht="15">
      <c r="B18" s="2" t="s">
        <v>45</v>
      </c>
      <c r="C18" s="8">
        <f>C16+C17</f>
        <v>7588.7999999999993</v>
      </c>
      <c r="D18" s="8">
        <f t="shared" ref="D18:G18" si="27">D16+D17</f>
        <v>7305.2000000000007</v>
      </c>
      <c r="E18" s="8">
        <f t="shared" si="27"/>
        <v>7455.6</v>
      </c>
      <c r="F18" s="8">
        <f t="shared" si="27"/>
        <v>5588.92</v>
      </c>
      <c r="G18" s="8">
        <f t="shared" si="27"/>
        <v>5080.4699999999993</v>
      </c>
      <c r="H18" s="8">
        <f>SUM(H16:H17)</f>
        <v>5206.5728156189671</v>
      </c>
      <c r="I18" s="8">
        <f t="shared" ref="I18:K18" si="28">SUM(I16:I17)</f>
        <v>5394.2010491777355</v>
      </c>
      <c r="J18" s="8">
        <f t="shared" si="28"/>
        <v>5605.2457417498881</v>
      </c>
      <c r="K18" s="8">
        <f t="shared" si="28"/>
        <v>5835.5089624980556</v>
      </c>
      <c r="L18" s="81">
        <f>SUM(L16:L17)</f>
        <v>6084.0472696394681</v>
      </c>
      <c r="M18" s="49" t="s">
        <v>46</v>
      </c>
      <c r="R18" t="s">
        <v>47</v>
      </c>
      <c r="U18" t="s">
        <v>48</v>
      </c>
    </row>
    <row r="19" spans="2:21">
      <c r="G19" s="10"/>
    </row>
    <row r="20" spans="2:21">
      <c r="B20" t="s">
        <v>49</v>
      </c>
      <c r="C20" s="6">
        <v>5000</v>
      </c>
      <c r="D20" s="6">
        <v>5100</v>
      </c>
      <c r="E20" s="6">
        <f>D20+100</f>
        <v>5200</v>
      </c>
      <c r="F20" s="6">
        <f t="shared" ref="F20:G20" si="29">E20+100</f>
        <v>5300</v>
      </c>
      <c r="G20" s="6">
        <f t="shared" si="29"/>
        <v>5400</v>
      </c>
      <c r="H20" s="82">
        <f>G20+100</f>
        <v>5500</v>
      </c>
      <c r="I20" s="82">
        <f t="shared" ref="I20:L20" si="30">H20+100</f>
        <v>5600</v>
      </c>
      <c r="J20" s="82">
        <f t="shared" si="30"/>
        <v>5700</v>
      </c>
      <c r="K20" s="82">
        <f t="shared" si="30"/>
        <v>5800</v>
      </c>
      <c r="L20" s="82">
        <f t="shared" si="30"/>
        <v>5900</v>
      </c>
      <c r="M20" s="49" t="s">
        <v>50</v>
      </c>
    </row>
    <row r="21" spans="2:21">
      <c r="B21" t="s">
        <v>51</v>
      </c>
      <c r="C21" s="15">
        <f>C18/C20</f>
        <v>1.5177599999999998</v>
      </c>
      <c r="D21" s="15">
        <f t="shared" ref="D21:G21" si="31">D18/D20</f>
        <v>1.4323921568627453</v>
      </c>
      <c r="E21" s="15">
        <f t="shared" si="31"/>
        <v>1.4337692307692309</v>
      </c>
      <c r="F21" s="15">
        <f t="shared" si="31"/>
        <v>1.0545132075471699</v>
      </c>
      <c r="G21" s="15">
        <f t="shared" si="31"/>
        <v>0.94082777777777771</v>
      </c>
      <c r="H21" s="15">
        <f>H18/H20</f>
        <v>0.94664960283981214</v>
      </c>
      <c r="I21" s="15">
        <f t="shared" ref="I21:L21" si="32">I18/I20</f>
        <v>0.96325018735316703</v>
      </c>
      <c r="J21" s="15">
        <f t="shared" si="32"/>
        <v>0.98337644592103302</v>
      </c>
      <c r="K21" s="15">
        <f t="shared" si="32"/>
        <v>1.0061222349134578</v>
      </c>
      <c r="L21" s="15">
        <f t="shared" si="32"/>
        <v>1.0311944524812657</v>
      </c>
      <c r="M21" s="49" t="s">
        <v>52</v>
      </c>
    </row>
    <row r="23" spans="2:21">
      <c r="B23" t="s">
        <v>53</v>
      </c>
      <c r="C23" s="6">
        <v>3794.3999999999996</v>
      </c>
      <c r="D23" s="6">
        <v>3652.6000000000004</v>
      </c>
      <c r="E23" s="6">
        <v>3727.8</v>
      </c>
      <c r="F23" s="6">
        <v>2794.46</v>
      </c>
      <c r="G23" s="6">
        <v>2540.2349999999997</v>
      </c>
      <c r="H23" s="10">
        <f>H24*H18</f>
        <v>2603.2864078094835</v>
      </c>
      <c r="I23" s="10">
        <f t="shared" ref="I23:L23" si="33">I24*I18</f>
        <v>2697.1005245888678</v>
      </c>
      <c r="J23" s="10">
        <f t="shared" si="33"/>
        <v>2802.6228708749441</v>
      </c>
      <c r="K23" s="10">
        <f t="shared" si="33"/>
        <v>2917.7544812490278</v>
      </c>
      <c r="L23" s="10">
        <f t="shared" si="33"/>
        <v>3042.0236348197341</v>
      </c>
      <c r="M23" s="49" t="s">
        <v>54</v>
      </c>
    </row>
    <row r="24" spans="2:21">
      <c r="B24" t="s">
        <v>55</v>
      </c>
      <c r="C24" s="42">
        <f>C23/C18</f>
        <v>0.5</v>
      </c>
      <c r="D24" s="42">
        <f t="shared" ref="D24:F24" si="34">D23/D18</f>
        <v>0.5</v>
      </c>
      <c r="E24" s="42">
        <f t="shared" si="34"/>
        <v>0.5</v>
      </c>
      <c r="F24" s="42">
        <f t="shared" si="34"/>
        <v>0.5</v>
      </c>
      <c r="G24" s="42">
        <f>G23/G18</f>
        <v>0.5</v>
      </c>
      <c r="H24" s="83">
        <f>G23/G18</f>
        <v>0.5</v>
      </c>
      <c r="I24" s="83">
        <f>G23/G18</f>
        <v>0.5</v>
      </c>
      <c r="J24" s="83">
        <f>G23/G18</f>
        <v>0.5</v>
      </c>
      <c r="K24" s="83">
        <f>G23/G18</f>
        <v>0.5</v>
      </c>
      <c r="L24" s="83">
        <f>G23/G18</f>
        <v>0.5</v>
      </c>
    </row>
    <row r="26" spans="2:21">
      <c r="B26" s="19" t="s">
        <v>56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2:21">
      <c r="B27" t="s">
        <v>57</v>
      </c>
      <c r="D27" s="30">
        <f>D5/C5-1</f>
        <v>2.1567670192568444E-2</v>
      </c>
      <c r="E27" s="30">
        <f t="shared" ref="E27:G27" si="35">E5/D5-1</f>
        <v>4.3743296199143966E-2</v>
      </c>
      <c r="F27" s="30">
        <f t="shared" si="35"/>
        <v>-1.4519444048757602E-2</v>
      </c>
      <c r="G27" s="30">
        <f t="shared" si="35"/>
        <v>7.5938258221052157E-2</v>
      </c>
      <c r="H27" s="54">
        <v>0.05</v>
      </c>
      <c r="I27" s="54">
        <v>0.05</v>
      </c>
      <c r="J27" s="54">
        <v>0.05</v>
      </c>
      <c r="K27" s="54">
        <v>0.05</v>
      </c>
      <c r="L27" s="54">
        <v>0.05</v>
      </c>
      <c r="M27" s="49" t="s">
        <v>58</v>
      </c>
    </row>
    <row r="28" spans="2:21">
      <c r="B28" t="s">
        <v>20</v>
      </c>
      <c r="C28" s="61">
        <f>C6/C5</f>
        <v>-0.80328722538649311</v>
      </c>
      <c r="D28" s="61">
        <f t="shared" ref="D28:G28" si="36">D6/D5</f>
        <v>-0.80118517889192142</v>
      </c>
      <c r="E28" s="61">
        <f t="shared" si="36"/>
        <v>-0.79698215339533185</v>
      </c>
      <c r="F28" s="61">
        <f t="shared" si="36"/>
        <v>-0.81025243921325696</v>
      </c>
      <c r="G28" s="61">
        <f t="shared" si="36"/>
        <v>-0.79646866903368196</v>
      </c>
      <c r="H28" s="62">
        <f>G28</f>
        <v>-0.79646866903368196</v>
      </c>
      <c r="I28" s="62">
        <f t="shared" ref="I28:L28" si="37">H28</f>
        <v>-0.79646866903368196</v>
      </c>
      <c r="J28" s="62">
        <f t="shared" si="37"/>
        <v>-0.79646866903368196</v>
      </c>
      <c r="K28" s="62">
        <f t="shared" si="37"/>
        <v>-0.79646866903368196</v>
      </c>
      <c r="L28" s="62">
        <f t="shared" si="37"/>
        <v>-0.79646866903368196</v>
      </c>
      <c r="M28" s="49" t="s">
        <v>59</v>
      </c>
    </row>
    <row r="29" spans="2:21">
      <c r="B29" t="s">
        <v>60</v>
      </c>
      <c r="C29" s="63">
        <f>C8/C5</f>
        <v>-3.9414157851912122E-2</v>
      </c>
      <c r="D29" s="63">
        <f t="shared" ref="D29:G29" si="38">D8/D5</f>
        <v>-3.8231577158756622E-2</v>
      </c>
      <c r="E29" s="63">
        <f t="shared" si="38"/>
        <v>-3.7646771534970799E-2</v>
      </c>
      <c r="F29" s="63">
        <f t="shared" si="38"/>
        <v>-3.9233906354860355E-2</v>
      </c>
      <c r="G29" s="63">
        <f t="shared" si="38"/>
        <v>-3.8384032242587081E-2</v>
      </c>
      <c r="H29" s="64">
        <f>G29</f>
        <v>-3.8384032242587081E-2</v>
      </c>
      <c r="I29" s="64">
        <f t="shared" ref="I29:L29" si="39">H29</f>
        <v>-3.8384032242587081E-2</v>
      </c>
      <c r="J29" s="64">
        <f t="shared" si="39"/>
        <v>-3.8384032242587081E-2</v>
      </c>
      <c r="K29" s="64">
        <f t="shared" si="39"/>
        <v>-3.8384032242587081E-2</v>
      </c>
      <c r="L29" s="64">
        <f t="shared" si="39"/>
        <v>-3.8384032242587081E-2</v>
      </c>
      <c r="M29" s="49" t="s">
        <v>61</v>
      </c>
    </row>
    <row r="30" spans="2:21">
      <c r="B30" t="s">
        <v>62</v>
      </c>
      <c r="C30" s="63">
        <f>C9/C5</f>
        <v>9.9159208028207213E-3</v>
      </c>
      <c r="D30" s="63">
        <f t="shared" ref="D30:G30" si="40">D9/D5</f>
        <v>7.1153213045463716E-3</v>
      </c>
      <c r="E30" s="63">
        <f t="shared" si="40"/>
        <v>7.3258582446429658E-3</v>
      </c>
      <c r="F30" s="63">
        <f t="shared" si="40"/>
        <v>7.9913272417531361E-3</v>
      </c>
      <c r="G30" s="63">
        <f t="shared" si="40"/>
        <v>9.8934843105268205E-3</v>
      </c>
      <c r="H30" s="64">
        <f t="shared" ref="H30:L30" si="41">G30</f>
        <v>9.8934843105268205E-3</v>
      </c>
      <c r="I30" s="64">
        <f t="shared" si="41"/>
        <v>9.8934843105268205E-3</v>
      </c>
      <c r="J30" s="64">
        <f t="shared" si="41"/>
        <v>9.8934843105268205E-3</v>
      </c>
      <c r="K30" s="64">
        <f t="shared" si="41"/>
        <v>9.8934843105268205E-3</v>
      </c>
      <c r="L30" s="64">
        <f t="shared" si="41"/>
        <v>9.8934843105268205E-3</v>
      </c>
      <c r="M30" s="49" t="s">
        <v>63</v>
      </c>
    </row>
    <row r="31" spans="2:21">
      <c r="B31" t="s">
        <v>64</v>
      </c>
      <c r="C31" s="63">
        <f>C10/C5</f>
        <v>-8.8961215080010855E-3</v>
      </c>
      <c r="D31" s="63">
        <f t="shared" ref="D31:G31" si="42">D10/D5</f>
        <v>-8.9950405148519052E-3</v>
      </c>
      <c r="E31" s="63">
        <f t="shared" si="42"/>
        <v>-1.2352210984717445E-2</v>
      </c>
      <c r="F31" s="63">
        <f t="shared" si="42"/>
        <v>-6.721387641319498E-3</v>
      </c>
      <c r="G31" s="63">
        <f t="shared" si="42"/>
        <v>-2.2224354668457923E-2</v>
      </c>
      <c r="H31" s="64">
        <f t="shared" ref="H31:L31" si="43">G31</f>
        <v>-2.2224354668457923E-2</v>
      </c>
      <c r="I31" s="64">
        <f t="shared" si="43"/>
        <v>-2.2224354668457923E-2</v>
      </c>
      <c r="J31" s="64">
        <f t="shared" si="43"/>
        <v>-2.2224354668457923E-2</v>
      </c>
      <c r="K31" s="64">
        <f t="shared" si="43"/>
        <v>-2.2224354668457923E-2</v>
      </c>
      <c r="L31" s="64">
        <f t="shared" si="43"/>
        <v>-2.2224354668457923E-2</v>
      </c>
      <c r="M31" s="49" t="s">
        <v>65</v>
      </c>
    </row>
    <row r="32" spans="2:21">
      <c r="B32" t="s">
        <v>66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4" spans="2:21">
      <c r="B34" t="s">
        <v>67</v>
      </c>
      <c r="C34" s="9">
        <f>BS!C89</f>
        <v>10895</v>
      </c>
      <c r="D34" s="9">
        <f>BS!D89</f>
        <v>10081</v>
      </c>
      <c r="E34" s="9">
        <f>BS!E89</f>
        <v>10562</v>
      </c>
      <c r="F34" s="9">
        <f>BS!F89</f>
        <v>17129</v>
      </c>
      <c r="G34" s="9">
        <f>BS!G89</f>
        <v>21805</v>
      </c>
      <c r="H34" s="9">
        <f>BS!H89</f>
        <v>25805</v>
      </c>
      <c r="I34" s="9">
        <f>BS!I89</f>
        <v>29805</v>
      </c>
      <c r="J34" s="9">
        <f>BS!J89</f>
        <v>33805</v>
      </c>
      <c r="K34" s="9">
        <f>BS!K89</f>
        <v>37805</v>
      </c>
      <c r="L34" s="9">
        <f>BS!L89</f>
        <v>41805</v>
      </c>
      <c r="M34" s="49" t="s">
        <v>68</v>
      </c>
    </row>
    <row r="35" spans="2:21">
      <c r="B35" t="s">
        <v>69</v>
      </c>
      <c r="C35" s="9">
        <f>BS!C95</f>
        <v>4000</v>
      </c>
      <c r="D35" s="9">
        <f>BS!D95</f>
        <v>5000</v>
      </c>
      <c r="E35" s="9">
        <f>BS!E95</f>
        <v>6000</v>
      </c>
      <c r="F35" s="9">
        <f>BS!F95</f>
        <v>5000</v>
      </c>
      <c r="G35" s="9">
        <f>BS!G95</f>
        <v>6000</v>
      </c>
      <c r="H35" s="9">
        <f>BS!H95</f>
        <v>7000</v>
      </c>
      <c r="I35" s="9">
        <f>BS!I95</f>
        <v>8000</v>
      </c>
      <c r="J35" s="9">
        <f>BS!J95</f>
        <v>9000</v>
      </c>
      <c r="K35" s="9">
        <f>BS!K95</f>
        <v>10000</v>
      </c>
      <c r="L35" s="9">
        <f>BS!L95</f>
        <v>11000</v>
      </c>
    </row>
    <row r="36" spans="2:21">
      <c r="B36" s="2" t="s">
        <v>70</v>
      </c>
      <c r="C36" s="39">
        <f>SUM(C34:C35)</f>
        <v>14895</v>
      </c>
      <c r="D36" s="39">
        <f t="shared" ref="D36:L36" si="44">SUM(D34:D35)</f>
        <v>15081</v>
      </c>
      <c r="E36" s="39">
        <f t="shared" si="44"/>
        <v>16562</v>
      </c>
      <c r="F36" s="39">
        <f t="shared" si="44"/>
        <v>22129</v>
      </c>
      <c r="G36" s="39">
        <f t="shared" si="44"/>
        <v>27805</v>
      </c>
      <c r="H36" s="39">
        <f>SUM(H34:H35)</f>
        <v>32805</v>
      </c>
      <c r="I36" s="39">
        <f t="shared" si="44"/>
        <v>37805</v>
      </c>
      <c r="J36" s="39">
        <f t="shared" si="44"/>
        <v>42805</v>
      </c>
      <c r="K36" s="39">
        <f t="shared" si="44"/>
        <v>47805</v>
      </c>
      <c r="L36" s="78">
        <f t="shared" si="44"/>
        <v>52805</v>
      </c>
      <c r="M36" s="49" t="s">
        <v>71</v>
      </c>
    </row>
    <row r="37" spans="2:21" ht="15">
      <c r="B37" s="2" t="s">
        <v>72</v>
      </c>
      <c r="C37" s="56">
        <f>C15</f>
        <v>-618</v>
      </c>
      <c r="D37" s="56">
        <f>D15</f>
        <v>-489</v>
      </c>
      <c r="E37" s="56">
        <f t="shared" ref="E37" si="45">E15</f>
        <v>-412</v>
      </c>
      <c r="F37" s="56">
        <f>F15</f>
        <v>-386</v>
      </c>
      <c r="G37" s="56">
        <f>G15</f>
        <v>-499</v>
      </c>
      <c r="H37" s="84">
        <f>-627</f>
        <v>-627</v>
      </c>
      <c r="I37" s="84">
        <f>-740</f>
        <v>-740</v>
      </c>
      <c r="J37" s="84">
        <f>-852</f>
        <v>-852</v>
      </c>
      <c r="K37" s="84">
        <f>-965</f>
        <v>-965</v>
      </c>
      <c r="L37" s="84">
        <f>-1078</f>
        <v>-1078</v>
      </c>
      <c r="M37" s="86" t="s">
        <v>73</v>
      </c>
    </row>
    <row r="38" spans="2:21">
      <c r="B38" t="s">
        <v>74</v>
      </c>
      <c r="D38" s="30">
        <f>D37/C36</f>
        <v>-3.282980866062437E-2</v>
      </c>
      <c r="E38" s="30">
        <f>E37/D36</f>
        <v>-2.7319143292885088E-2</v>
      </c>
      <c r="F38" s="30">
        <f>F37/E36</f>
        <v>-2.3306363965704624E-2</v>
      </c>
      <c r="G38" s="30">
        <f>G37/F36</f>
        <v>-2.2549595553346288E-2</v>
      </c>
      <c r="H38" s="83">
        <v>-2.3E-2</v>
      </c>
      <c r="I38" s="83">
        <v>-2.3E-2</v>
      </c>
      <c r="J38" s="83">
        <v>-2.3E-2</v>
      </c>
      <c r="K38" s="83">
        <v>-2.3E-2</v>
      </c>
      <c r="L38" s="83">
        <v>-2.3E-2</v>
      </c>
      <c r="M38" s="49" t="s">
        <v>75</v>
      </c>
    </row>
    <row r="40" spans="2:21" ht="15">
      <c r="B40" t="s">
        <v>76</v>
      </c>
      <c r="C40" s="9">
        <f>BS!C15</f>
        <v>6122</v>
      </c>
      <c r="D40" s="9">
        <f>BS!D15</f>
        <v>7880</v>
      </c>
      <c r="E40" s="9">
        <f>BS!E15</f>
        <v>9039</v>
      </c>
      <c r="F40" s="9">
        <f>BS!F15</f>
        <v>10979</v>
      </c>
      <c r="G40" s="9">
        <f>BS!G15</f>
        <v>12036</v>
      </c>
      <c r="H40" s="9">
        <f>BS!H15</f>
        <v>15165.261876433959</v>
      </c>
      <c r="I40" s="9">
        <f>BS!I15</f>
        <v>18229.556918512219</v>
      </c>
      <c r="J40" s="9">
        <f>BS!J15</f>
        <v>21215.35349891576</v>
      </c>
      <c r="K40" s="9">
        <f>BS!K15</f>
        <v>24111.322177482107</v>
      </c>
      <c r="L40" s="9">
        <f>BS!L15</f>
        <v>26908.304089689143</v>
      </c>
      <c r="M40" s="49" t="s">
        <v>77</v>
      </c>
    </row>
    <row r="41" spans="2:21" ht="15">
      <c r="B41" s="2" t="s">
        <v>78</v>
      </c>
      <c r="C41" s="39">
        <f>C14</f>
        <v>185</v>
      </c>
      <c r="D41" s="39">
        <f>D14</f>
        <v>196</v>
      </c>
      <c r="E41" s="39">
        <f t="shared" ref="D41:L41" si="46">E14</f>
        <v>201</v>
      </c>
      <c r="F41" s="39">
        <f t="shared" si="46"/>
        <v>397</v>
      </c>
      <c r="G41" s="39">
        <f t="shared" si="46"/>
        <v>179</v>
      </c>
      <c r="H41" s="85">
        <f>H42*G40</f>
        <v>196.23317242007468</v>
      </c>
      <c r="I41" s="85">
        <f>I42*H40</f>
        <v>247.25219745711618</v>
      </c>
      <c r="J41" s="85">
        <f t="shared" ref="I41:L41" si="47">J42*I40</f>
        <v>297.21201278929658</v>
      </c>
      <c r="K41" s="85">
        <f t="shared" si="47"/>
        <v>345.89200075652798</v>
      </c>
      <c r="L41" s="85">
        <f>L42*K40</f>
        <v>393.1074478339828</v>
      </c>
    </row>
    <row r="42" spans="2:21" ht="15">
      <c r="B42" t="s">
        <v>79</v>
      </c>
      <c r="D42" s="30">
        <f>D41/C40</f>
        <v>3.2015681149950993E-2</v>
      </c>
      <c r="E42" s="30">
        <f t="shared" ref="E42:H42" si="48">E41/D40</f>
        <v>2.5507614213197971E-2</v>
      </c>
      <c r="F42" s="30">
        <f t="shared" si="48"/>
        <v>4.3920787697754177E-2</v>
      </c>
      <c r="G42" s="30">
        <f>G41/F40</f>
        <v>1.6303852809909827E-2</v>
      </c>
      <c r="H42" s="30">
        <f>G41/F40</f>
        <v>1.6303852809909827E-2</v>
      </c>
      <c r="I42" s="30">
        <f>G41/F40</f>
        <v>1.6303852809909827E-2</v>
      </c>
      <c r="J42" s="30">
        <f>G41/F40</f>
        <v>1.6303852809909827E-2</v>
      </c>
      <c r="K42" s="30">
        <f>G41/F40</f>
        <v>1.6303852809909827E-2</v>
      </c>
      <c r="L42" s="30">
        <f>G41/F40</f>
        <v>1.6303852809909827E-2</v>
      </c>
      <c r="M42" s="30"/>
    </row>
    <row r="43" spans="2:21" ht="15">
      <c r="Q43" s="60"/>
      <c r="R43" s="60"/>
      <c r="S43" s="60"/>
      <c r="T43" s="60"/>
      <c r="U43" s="60"/>
    </row>
    <row r="44" spans="2:21" ht="15">
      <c r="B44" t="s">
        <v>80</v>
      </c>
      <c r="C44" s="30">
        <f>C17/C16</f>
        <v>-0.32</v>
      </c>
      <c r="D44" s="30">
        <f t="shared" ref="D44:G44" si="49">D17/D16</f>
        <v>-0.3</v>
      </c>
      <c r="E44" s="30">
        <f t="shared" si="49"/>
        <v>-0.28000000000000003</v>
      </c>
      <c r="F44" s="30">
        <f t="shared" si="49"/>
        <v>-0.32</v>
      </c>
      <c r="G44" s="30">
        <f t="shared" si="49"/>
        <v>-0.31000000000000005</v>
      </c>
      <c r="H44" s="30">
        <v>-0.31</v>
      </c>
      <c r="I44" s="30">
        <v>-0.31</v>
      </c>
      <c r="J44" s="30">
        <v>-0.31</v>
      </c>
      <c r="K44" s="30">
        <v>-0.31</v>
      </c>
      <c r="L44" s="30">
        <v>-0.31</v>
      </c>
      <c r="M44" s="87" t="s">
        <v>81</v>
      </c>
    </row>
    <row r="45" spans="2:21" ht="15"/>
    <row r="46" spans="2:21" ht="15"/>
    <row r="47" spans="2:21" ht="15">
      <c r="Q47" s="60"/>
      <c r="R47" s="60"/>
      <c r="S47" s="60"/>
      <c r="T47" s="60"/>
      <c r="U47" s="60"/>
    </row>
    <row r="48" spans="2:21" ht="15"/>
    <row r="49" ht="15"/>
    <row r="50" ht="15"/>
    <row r="51" ht="15"/>
    <row r="52" ht="15"/>
    <row r="53" ht="15"/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EC8F-B655-45FC-AEB9-5C1BA52B8323}">
  <sheetPr>
    <pageSetUpPr fitToPage="1"/>
  </sheetPr>
  <dimension ref="A1:Q95"/>
  <sheetViews>
    <sheetView showGridLines="0" zoomScale="130" zoomScaleNormal="130" workbookViewId="0">
      <pane xSplit="2" ySplit="5" topLeftCell="C86" activePane="bottomRight" state="frozen"/>
      <selection pane="bottomRight" activeCell="C1" sqref="C1"/>
      <selection pane="bottomLeft" activeCell="A6" sqref="A6"/>
      <selection pane="topRight" activeCell="C1" sqref="C1"/>
    </sheetView>
  </sheetViews>
  <sheetFormatPr defaultRowHeight="14.45"/>
  <cols>
    <col min="1" max="1" width="4.85546875" customWidth="1"/>
    <col min="2" max="2" width="46.7109375" bestFit="1" customWidth="1"/>
    <col min="3" max="4" width="9.5703125" customWidth="1"/>
    <col min="5" max="12" width="9.28515625" bestFit="1" customWidth="1"/>
    <col min="13" max="13" width="17.85546875" customWidth="1"/>
    <col min="14" max="14" width="7.85546875" bestFit="1" customWidth="1"/>
  </cols>
  <sheetData>
    <row r="1" spans="1:17" ht="22.15" thickTop="1" thickBot="1">
      <c r="A1" s="21" t="s">
        <v>82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</row>
    <row r="2" spans="1:17" ht="15" thickTop="1">
      <c r="A2" s="14" t="str">
        <f>IS!A2</f>
        <v>All numbers are in £ millions except per share data</v>
      </c>
    </row>
    <row r="3" spans="1:17" hidden="1"/>
    <row r="4" spans="1:17" ht="15" thickBot="1">
      <c r="A4" s="14"/>
      <c r="H4" s="10"/>
      <c r="I4" s="10"/>
      <c r="J4" s="10"/>
      <c r="K4" s="10"/>
      <c r="L4" s="10"/>
    </row>
    <row r="5" spans="1:17" ht="15" thickBot="1">
      <c r="B5" s="24"/>
      <c r="C5" s="4">
        <v>2021</v>
      </c>
      <c r="D5" s="4">
        <f>C5+1</f>
        <v>2022</v>
      </c>
      <c r="E5" s="4">
        <f t="shared" ref="E5:L5" si="0">D5+1</f>
        <v>2023</v>
      </c>
      <c r="F5" s="4">
        <f t="shared" si="0"/>
        <v>2024</v>
      </c>
      <c r="G5" s="4">
        <f t="shared" si="0"/>
        <v>2025</v>
      </c>
      <c r="H5" s="5">
        <f t="shared" si="0"/>
        <v>2026</v>
      </c>
      <c r="I5" s="5">
        <f t="shared" si="0"/>
        <v>2027</v>
      </c>
      <c r="J5" s="5">
        <f t="shared" si="0"/>
        <v>2028</v>
      </c>
      <c r="K5" s="5">
        <f t="shared" si="0"/>
        <v>2029</v>
      </c>
      <c r="L5" s="5">
        <f t="shared" si="0"/>
        <v>2030</v>
      </c>
    </row>
    <row r="6" spans="1:17">
      <c r="B6" s="25" t="s">
        <v>83</v>
      </c>
      <c r="C6" s="26"/>
      <c r="D6" s="26"/>
      <c r="E6" s="26"/>
      <c r="F6" s="26"/>
      <c r="G6" s="26"/>
      <c r="H6" s="26"/>
      <c r="I6" s="26"/>
      <c r="J6" s="26"/>
      <c r="K6" s="26"/>
      <c r="L6" s="26"/>
      <c r="P6" s="27"/>
      <c r="Q6" s="27"/>
    </row>
    <row r="7" spans="1:17" ht="15">
      <c r="B7" s="1" t="s">
        <v>84</v>
      </c>
      <c r="C7" s="50">
        <v>7372</v>
      </c>
      <c r="D7" s="50">
        <v>8157</v>
      </c>
      <c r="E7" s="50">
        <v>9464</v>
      </c>
      <c r="F7" s="50">
        <v>10971</v>
      </c>
      <c r="G7" s="50">
        <v>11729</v>
      </c>
      <c r="H7" s="65">
        <f>H71</f>
        <v>12453.460577887157</v>
      </c>
      <c r="I7" s="65">
        <f t="shared" ref="I7:L7" si="1">I71</f>
        <v>13167.07139436207</v>
      </c>
      <c r="J7" s="65">
        <f t="shared" si="1"/>
        <v>13885.345597242132</v>
      </c>
      <c r="K7" s="65">
        <f t="shared" si="1"/>
        <v>14619.095718880537</v>
      </c>
      <c r="L7" s="65">
        <f t="shared" si="1"/>
        <v>15376.066498188968</v>
      </c>
      <c r="M7" s="49" t="s">
        <v>85</v>
      </c>
      <c r="N7" s="10"/>
      <c r="P7" s="27"/>
      <c r="Q7" s="27"/>
    </row>
    <row r="8" spans="1:17" ht="15">
      <c r="B8" s="1" t="s">
        <v>86</v>
      </c>
      <c r="C8" s="50">
        <v>50000</v>
      </c>
      <c r="D8" s="50">
        <v>55000</v>
      </c>
      <c r="E8" s="50">
        <v>60000</v>
      </c>
      <c r="F8" s="50">
        <v>64500</v>
      </c>
      <c r="G8" s="50">
        <v>68000</v>
      </c>
      <c r="H8" s="65">
        <f>H80</f>
        <v>71655.813953488367</v>
      </c>
      <c r="I8" s="65">
        <f t="shared" ref="I8:L8" si="2">I80</f>
        <v>75476.571119524058</v>
      </c>
      <c r="J8" s="65">
        <f t="shared" si="2"/>
        <v>79471.763832115408</v>
      </c>
      <c r="K8" s="65">
        <f t="shared" si="2"/>
        <v>83651.272169409684</v>
      </c>
      <c r="L8" s="65">
        <f t="shared" si="2"/>
        <v>88025.389401776454</v>
      </c>
      <c r="M8" s="49" t="s">
        <v>87</v>
      </c>
      <c r="N8" s="10"/>
      <c r="P8" s="27"/>
      <c r="Q8" s="27"/>
    </row>
    <row r="9" spans="1:17">
      <c r="B9" s="1" t="s">
        <v>88</v>
      </c>
      <c r="C9" s="50">
        <v>1945</v>
      </c>
      <c r="D9" s="50">
        <v>2327</v>
      </c>
      <c r="E9" s="50">
        <v>1993</v>
      </c>
      <c r="F9" s="50">
        <v>1638</v>
      </c>
      <c r="G9" s="50">
        <v>2194</v>
      </c>
      <c r="H9" s="69">
        <f>G9</f>
        <v>2194</v>
      </c>
      <c r="I9" s="69">
        <f t="shared" ref="I9:L9" si="3">H9</f>
        <v>2194</v>
      </c>
      <c r="J9" s="69">
        <f t="shared" si="3"/>
        <v>2194</v>
      </c>
      <c r="K9" s="69">
        <f t="shared" si="3"/>
        <v>2194</v>
      </c>
      <c r="L9" s="69">
        <f t="shared" si="3"/>
        <v>2194</v>
      </c>
      <c r="M9" s="49" t="s">
        <v>89</v>
      </c>
      <c r="N9" s="10"/>
    </row>
    <row r="10" spans="1:17">
      <c r="B10" s="1" t="s">
        <v>90</v>
      </c>
      <c r="C10" s="50">
        <v>2749</v>
      </c>
      <c r="D10" s="50">
        <v>1636</v>
      </c>
      <c r="E10" s="50">
        <v>1516</v>
      </c>
      <c r="F10" s="50">
        <v>2185</v>
      </c>
      <c r="G10" s="50">
        <v>2488</v>
      </c>
      <c r="H10" s="69">
        <f>G10</f>
        <v>2488</v>
      </c>
      <c r="I10" s="69">
        <f t="shared" ref="I10:L10" si="4">H10</f>
        <v>2488</v>
      </c>
      <c r="J10" s="69">
        <f t="shared" si="4"/>
        <v>2488</v>
      </c>
      <c r="K10" s="69">
        <f t="shared" si="4"/>
        <v>2488</v>
      </c>
      <c r="L10" s="69">
        <f t="shared" si="4"/>
        <v>2488</v>
      </c>
      <c r="M10" s="49" t="s">
        <v>89</v>
      </c>
      <c r="N10" s="10"/>
    </row>
    <row r="11" spans="1:17">
      <c r="B11" s="2" t="s">
        <v>91</v>
      </c>
      <c r="C11" s="45">
        <f>SUM(C7:C10)</f>
        <v>62066</v>
      </c>
      <c r="D11" s="45">
        <f>SUM(D7:D10)</f>
        <v>67120</v>
      </c>
      <c r="E11" s="45">
        <f>SUM(E7:E10)</f>
        <v>72973</v>
      </c>
      <c r="F11" s="45">
        <f>SUM(F7:F10)</f>
        <v>79294</v>
      </c>
      <c r="G11" s="45">
        <f>SUM(G7:G10)</f>
        <v>84411</v>
      </c>
      <c r="H11" s="45">
        <f t="shared" ref="H11:L11" si="5">SUM(H7:H10)</f>
        <v>88791.274531375529</v>
      </c>
      <c r="I11" s="45">
        <f t="shared" si="5"/>
        <v>93325.642513886123</v>
      </c>
      <c r="J11" s="45">
        <f t="shared" si="5"/>
        <v>98039.109429357544</v>
      </c>
      <c r="K11" s="45">
        <f t="shared" si="5"/>
        <v>102952.36788829022</v>
      </c>
      <c r="L11" s="45">
        <f>SUM(L7:L10)</f>
        <v>108083.45589996543</v>
      </c>
      <c r="M11" s="49" t="s">
        <v>92</v>
      </c>
      <c r="N11" s="10"/>
    </row>
    <row r="12" spans="1:17" ht="15">
      <c r="B12" s="1" t="s">
        <v>93</v>
      </c>
      <c r="C12" s="50">
        <v>11071</v>
      </c>
      <c r="D12" s="50">
        <v>11841</v>
      </c>
      <c r="E12" s="50">
        <v>12707</v>
      </c>
      <c r="F12" s="50">
        <v>14248</v>
      </c>
      <c r="G12" s="50">
        <v>15891</v>
      </c>
      <c r="H12" s="65">
        <f>H42</f>
        <v>16685.55</v>
      </c>
      <c r="I12" s="65">
        <f t="shared" ref="I12:L12" si="6">I42</f>
        <v>17519.827499999999</v>
      </c>
      <c r="J12" s="65">
        <f t="shared" si="6"/>
        <v>18395.818875000001</v>
      </c>
      <c r="K12" s="65">
        <f t="shared" si="6"/>
        <v>19315.609818750003</v>
      </c>
      <c r="L12" s="65">
        <f>L42</f>
        <v>20281.390309687504</v>
      </c>
      <c r="M12" s="88" t="s">
        <v>94</v>
      </c>
      <c r="N12" s="10"/>
    </row>
    <row r="13" spans="1:17" ht="15">
      <c r="B13" s="1" t="s">
        <v>95</v>
      </c>
      <c r="C13" s="50">
        <v>2751</v>
      </c>
      <c r="D13" s="50">
        <v>2825</v>
      </c>
      <c r="E13" s="50">
        <v>2667</v>
      </c>
      <c r="F13" s="50">
        <v>2546</v>
      </c>
      <c r="G13" s="50">
        <v>2518</v>
      </c>
      <c r="H13" s="65">
        <f>H43</f>
        <v>2643.9</v>
      </c>
      <c r="I13" s="65">
        <f t="shared" ref="I13:L13" si="7">I43</f>
        <v>2776.0950000000003</v>
      </c>
      <c r="J13" s="65">
        <f t="shared" si="7"/>
        <v>2914.8997500000005</v>
      </c>
      <c r="K13" s="65">
        <f t="shared" si="7"/>
        <v>3060.6447375000007</v>
      </c>
      <c r="L13" s="65">
        <f t="shared" si="7"/>
        <v>3213.676974375001</v>
      </c>
      <c r="M13" s="49" t="s">
        <v>96</v>
      </c>
      <c r="N13" s="10"/>
    </row>
    <row r="14" spans="1:17" ht="15">
      <c r="B14" s="1" t="s">
        <v>90</v>
      </c>
      <c r="C14" s="50">
        <v>4693</v>
      </c>
      <c r="D14" s="50">
        <v>5087</v>
      </c>
      <c r="E14" s="50">
        <v>7485</v>
      </c>
      <c r="F14" s="50">
        <v>9749</v>
      </c>
      <c r="G14" s="50">
        <v>11614</v>
      </c>
      <c r="H14" s="65">
        <f>H44</f>
        <v>12194.699999999999</v>
      </c>
      <c r="I14" s="65">
        <f t="shared" ref="I14:L14" si="8">I44</f>
        <v>12804.435000000001</v>
      </c>
      <c r="J14" s="65">
        <f t="shared" si="8"/>
        <v>13444.656750000002</v>
      </c>
      <c r="K14" s="65">
        <f t="shared" si="8"/>
        <v>14116.889587500002</v>
      </c>
      <c r="L14" s="65">
        <f>L44</f>
        <v>14822.734066875004</v>
      </c>
      <c r="M14" s="49" t="s">
        <v>97</v>
      </c>
      <c r="N14" s="10"/>
    </row>
    <row r="15" spans="1:17">
      <c r="B15" s="1" t="s">
        <v>76</v>
      </c>
      <c r="C15" s="50">
        <v>6122</v>
      </c>
      <c r="D15" s="50">
        <v>7880</v>
      </c>
      <c r="E15" s="50">
        <v>9039</v>
      </c>
      <c r="F15" s="50">
        <v>10979</v>
      </c>
      <c r="G15" s="50">
        <v>12036</v>
      </c>
      <c r="H15" s="68">
        <f>CF!H34</f>
        <v>15165.261876433959</v>
      </c>
      <c r="I15" s="68">
        <f>CF!I34</f>
        <v>18229.556918512219</v>
      </c>
      <c r="J15" s="68">
        <f>CF!J34</f>
        <v>21215.35349891576</v>
      </c>
      <c r="K15" s="68">
        <f>CF!K34</f>
        <v>24111.322177482107</v>
      </c>
      <c r="L15" s="68">
        <f>CF!L34</f>
        <v>26908.304089689143</v>
      </c>
      <c r="M15" s="49" t="s">
        <v>98</v>
      </c>
      <c r="N15" s="10"/>
    </row>
    <row r="16" spans="1:17">
      <c r="B16" s="2" t="s">
        <v>99</v>
      </c>
      <c r="C16" s="45">
        <f>SUM(C12,C13:C15)</f>
        <v>24637</v>
      </c>
      <c r="D16" s="45">
        <f>SUM(D12:D15)</f>
        <v>27633</v>
      </c>
      <c r="E16" s="45">
        <f>SUM(E12:E15)</f>
        <v>31898</v>
      </c>
      <c r="F16" s="45">
        <f>SUM(F12:F15)</f>
        <v>37522</v>
      </c>
      <c r="G16" s="45">
        <f>SUM(G12:G15)</f>
        <v>42059</v>
      </c>
      <c r="H16" s="45">
        <f t="shared" ref="H16:L16" si="9">SUM(H12:H15)</f>
        <v>46689.411876433958</v>
      </c>
      <c r="I16" s="45">
        <f t="shared" si="9"/>
        <v>51329.914418512213</v>
      </c>
      <c r="J16" s="45">
        <f t="shared" si="9"/>
        <v>55970.728873915767</v>
      </c>
      <c r="K16" s="45">
        <f t="shared" si="9"/>
        <v>60604.46632123211</v>
      </c>
      <c r="L16" s="45">
        <f>SUM(L12:L15)</f>
        <v>65226.105440626648</v>
      </c>
      <c r="M16" s="49" t="s">
        <v>100</v>
      </c>
      <c r="N16" s="10"/>
    </row>
    <row r="17" spans="2:14">
      <c r="C17" s="47"/>
      <c r="D17" s="47"/>
      <c r="E17" s="51"/>
      <c r="F17" s="47"/>
      <c r="G17" s="47"/>
      <c r="H17" s="46"/>
      <c r="I17" s="46"/>
      <c r="J17" s="46"/>
      <c r="K17" s="46"/>
      <c r="L17" s="46"/>
      <c r="N17" s="10"/>
    </row>
    <row r="18" spans="2:14">
      <c r="B18" s="2" t="s">
        <v>101</v>
      </c>
      <c r="C18" s="45">
        <f>C16+C11</f>
        <v>86703</v>
      </c>
      <c r="D18" s="45">
        <f>D16+D11</f>
        <v>94753</v>
      </c>
      <c r="E18" s="45">
        <f>E16+E11</f>
        <v>104871</v>
      </c>
      <c r="F18" s="45">
        <f>F16+F11</f>
        <v>116816</v>
      </c>
      <c r="G18" s="45">
        <f>G16+G11</f>
        <v>126470</v>
      </c>
      <c r="H18" s="45">
        <f t="shared" ref="H18:L18" si="10">H16+H11</f>
        <v>135480.68640780949</v>
      </c>
      <c r="I18" s="45">
        <f t="shared" si="10"/>
        <v>144655.55693239835</v>
      </c>
      <c r="J18" s="45">
        <f t="shared" si="10"/>
        <v>154009.83830327331</v>
      </c>
      <c r="K18" s="45">
        <f t="shared" si="10"/>
        <v>163556.83420952232</v>
      </c>
      <c r="L18" s="45">
        <f>L16+L11</f>
        <v>173309.56134059207</v>
      </c>
      <c r="M18" s="49" t="s">
        <v>102</v>
      </c>
      <c r="N18" s="10"/>
    </row>
    <row r="19" spans="2:14">
      <c r="C19" s="47"/>
      <c r="D19" s="47"/>
      <c r="E19" s="47"/>
      <c r="F19" s="47"/>
      <c r="G19" s="47"/>
      <c r="H19" s="47"/>
      <c r="I19" s="47"/>
      <c r="J19" s="47"/>
      <c r="K19" s="47"/>
      <c r="L19" s="47"/>
      <c r="N19" s="10"/>
    </row>
    <row r="20" spans="2:14">
      <c r="B20" s="29" t="s">
        <v>103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N20" s="10"/>
    </row>
    <row r="21" spans="2:14">
      <c r="B21" s="1" t="s">
        <v>104</v>
      </c>
      <c r="C21" s="50">
        <v>657</v>
      </c>
      <c r="D21" s="50">
        <v>657</v>
      </c>
      <c r="E21" s="50">
        <v>658</v>
      </c>
      <c r="F21" s="50">
        <v>658</v>
      </c>
      <c r="G21" s="50">
        <v>659</v>
      </c>
      <c r="H21" s="69">
        <f>G21</f>
        <v>659</v>
      </c>
      <c r="I21" s="69">
        <f t="shared" ref="I21:L21" si="11">H21</f>
        <v>659</v>
      </c>
      <c r="J21" s="69">
        <f t="shared" si="11"/>
        <v>659</v>
      </c>
      <c r="K21" s="69">
        <f t="shared" si="11"/>
        <v>659</v>
      </c>
      <c r="L21" s="69">
        <f t="shared" si="11"/>
        <v>659</v>
      </c>
      <c r="M21" s="49" t="s">
        <v>89</v>
      </c>
      <c r="N21" s="10"/>
    </row>
    <row r="22" spans="2:14">
      <c r="B22" s="1" t="s">
        <v>105</v>
      </c>
      <c r="C22" s="50">
        <v>2027</v>
      </c>
      <c r="D22" s="50">
        <v>2047</v>
      </c>
      <c r="E22" s="50">
        <v>2084</v>
      </c>
      <c r="F22" s="50">
        <v>2118</v>
      </c>
      <c r="G22" s="50">
        <v>2161</v>
      </c>
      <c r="H22" s="69">
        <f>G22</f>
        <v>2161</v>
      </c>
      <c r="I22" s="69">
        <f t="shared" ref="I22:L22" si="12">H22</f>
        <v>2161</v>
      </c>
      <c r="J22" s="69">
        <f t="shared" si="12"/>
        <v>2161</v>
      </c>
      <c r="K22" s="69">
        <f t="shared" si="12"/>
        <v>2161</v>
      </c>
      <c r="L22" s="69">
        <f t="shared" si="12"/>
        <v>2161</v>
      </c>
      <c r="M22" s="49" t="s">
        <v>89</v>
      </c>
      <c r="N22" s="10"/>
    </row>
    <row r="23" spans="2:14" ht="15">
      <c r="B23" s="1" t="s">
        <v>106</v>
      </c>
      <c r="C23" s="50">
        <v>41027</v>
      </c>
      <c r="D23" s="50">
        <v>44445</v>
      </c>
      <c r="E23" s="50">
        <v>50815</v>
      </c>
      <c r="F23" s="50">
        <v>55862</v>
      </c>
      <c r="G23" s="50">
        <v>57667</v>
      </c>
      <c r="H23" s="44">
        <f>G23+IS!H18-IS!H23</f>
        <v>60270.286407809479</v>
      </c>
      <c r="I23" s="44">
        <f>H23+IS!I18-IS!I23</f>
        <v>62967.386932398353</v>
      </c>
      <c r="J23" s="44">
        <f>I23+IS!J18-IS!J23</f>
        <v>65770.009803273308</v>
      </c>
      <c r="K23" s="44">
        <f>J23+IS!K18-IS!K23</f>
        <v>68687.764284522345</v>
      </c>
      <c r="L23" s="44">
        <f>K23+IS!L18-IS!L23</f>
        <v>71729.787919342081</v>
      </c>
      <c r="M23" s="49" t="s">
        <v>107</v>
      </c>
      <c r="N23" s="10"/>
    </row>
    <row r="24" spans="2:14">
      <c r="B24" s="2" t="s">
        <v>108</v>
      </c>
      <c r="C24" s="45">
        <f t="shared" ref="C24:L24" si="13">SUM(C21:C23)</f>
        <v>43711</v>
      </c>
      <c r="D24" s="45">
        <f t="shared" si="13"/>
        <v>47149</v>
      </c>
      <c r="E24" s="45">
        <f t="shared" si="13"/>
        <v>53557</v>
      </c>
      <c r="F24" s="45">
        <f t="shared" si="13"/>
        <v>58638</v>
      </c>
      <c r="G24" s="45">
        <f t="shared" si="13"/>
        <v>60487</v>
      </c>
      <c r="H24" s="45">
        <f t="shared" si="13"/>
        <v>63090.286407809479</v>
      </c>
      <c r="I24" s="45">
        <f t="shared" si="13"/>
        <v>65787.386932398353</v>
      </c>
      <c r="J24" s="45">
        <f t="shared" si="13"/>
        <v>68590.009803273308</v>
      </c>
      <c r="K24" s="45">
        <f t="shared" si="13"/>
        <v>71507.764284522345</v>
      </c>
      <c r="L24" s="45">
        <f>SUM(L21:L23)</f>
        <v>74549.787919342081</v>
      </c>
      <c r="M24" s="49" t="s">
        <v>109</v>
      </c>
      <c r="N24" s="10"/>
    </row>
    <row r="25" spans="2:14">
      <c r="B25" s="1" t="s">
        <v>110</v>
      </c>
      <c r="C25" s="50">
        <v>3000</v>
      </c>
      <c r="D25" s="50">
        <v>4587</v>
      </c>
      <c r="E25" s="50">
        <v>3252</v>
      </c>
      <c r="F25" s="50">
        <v>2330</v>
      </c>
      <c r="G25" s="50">
        <v>3335</v>
      </c>
      <c r="H25" s="69">
        <f>G25</f>
        <v>3335</v>
      </c>
      <c r="I25" s="69">
        <f t="shared" ref="I25:L25" si="14">H25</f>
        <v>3335</v>
      </c>
      <c r="J25" s="69">
        <f t="shared" si="14"/>
        <v>3335</v>
      </c>
      <c r="K25" s="69">
        <f t="shared" si="14"/>
        <v>3335</v>
      </c>
      <c r="L25" s="69">
        <f t="shared" si="14"/>
        <v>3335</v>
      </c>
      <c r="M25" s="49" t="s">
        <v>89</v>
      </c>
      <c r="N25" s="10"/>
    </row>
    <row r="26" spans="2:14">
      <c r="B26" s="1" t="s">
        <v>88</v>
      </c>
      <c r="C26" s="50">
        <v>2116</v>
      </c>
      <c r="D26" s="50">
        <v>2795</v>
      </c>
      <c r="E26" s="50">
        <v>2157</v>
      </c>
      <c r="F26" s="50">
        <v>1773</v>
      </c>
      <c r="G26" s="50">
        <v>632</v>
      </c>
      <c r="H26" s="69">
        <f>G26</f>
        <v>632</v>
      </c>
      <c r="I26" s="69">
        <f t="shared" ref="I26:L26" si="15">H26</f>
        <v>632</v>
      </c>
      <c r="J26" s="69">
        <f t="shared" si="15"/>
        <v>632</v>
      </c>
      <c r="K26" s="69">
        <f t="shared" si="15"/>
        <v>632</v>
      </c>
      <c r="L26" s="69">
        <f t="shared" si="15"/>
        <v>632</v>
      </c>
      <c r="M26" s="49" t="s">
        <v>89</v>
      </c>
      <c r="N26" s="10"/>
    </row>
    <row r="27" spans="2:14" ht="15">
      <c r="B27" s="1" t="s">
        <v>111</v>
      </c>
      <c r="C27" s="50">
        <v>10895</v>
      </c>
      <c r="D27" s="50">
        <v>10081</v>
      </c>
      <c r="E27" s="50">
        <v>10562</v>
      </c>
      <c r="F27" s="50">
        <v>17129</v>
      </c>
      <c r="G27" s="50">
        <v>21805</v>
      </c>
      <c r="H27" s="65">
        <f>H89</f>
        <v>25805</v>
      </c>
      <c r="I27" s="65">
        <f t="shared" ref="I27:L27" si="16">I89</f>
        <v>29805</v>
      </c>
      <c r="J27" s="65">
        <f t="shared" si="16"/>
        <v>33805</v>
      </c>
      <c r="K27" s="65">
        <f t="shared" si="16"/>
        <v>37805</v>
      </c>
      <c r="L27" s="65">
        <f>L89</f>
        <v>41805</v>
      </c>
      <c r="M27" s="49" t="s">
        <v>112</v>
      </c>
      <c r="N27" s="10"/>
    </row>
    <row r="28" spans="2:14">
      <c r="B28" s="1" t="s">
        <v>113</v>
      </c>
      <c r="C28" s="50">
        <v>4559</v>
      </c>
      <c r="D28" s="50">
        <v>5357</v>
      </c>
      <c r="E28" s="50">
        <v>5045</v>
      </c>
      <c r="F28" s="50">
        <v>5293</v>
      </c>
      <c r="G28" s="50">
        <v>5100</v>
      </c>
      <c r="H28" s="69">
        <f>G28</f>
        <v>5100</v>
      </c>
      <c r="I28" s="69">
        <f t="shared" ref="I28:L28" si="17">H28</f>
        <v>5100</v>
      </c>
      <c r="J28" s="69">
        <f t="shared" si="17"/>
        <v>5100</v>
      </c>
      <c r="K28" s="69">
        <f t="shared" si="17"/>
        <v>5100</v>
      </c>
      <c r="L28" s="69">
        <f t="shared" si="17"/>
        <v>5100</v>
      </c>
      <c r="M28" s="49" t="s">
        <v>89</v>
      </c>
      <c r="N28" s="10"/>
    </row>
    <row r="29" spans="2:14">
      <c r="B29" s="2" t="s">
        <v>114</v>
      </c>
      <c r="C29" s="45">
        <f>SUM(C25:C28)</f>
        <v>20570</v>
      </c>
      <c r="D29" s="45">
        <f>SUM(D25:D28)</f>
        <v>22820</v>
      </c>
      <c r="E29" s="45">
        <f>SUM(E25:E28)</f>
        <v>21016</v>
      </c>
      <c r="F29" s="45">
        <f>SUM(F25:F28)</f>
        <v>26525</v>
      </c>
      <c r="G29" s="45">
        <f>SUM(G25:G28)</f>
        <v>30872</v>
      </c>
      <c r="H29" s="45">
        <f t="shared" ref="H29:L29" si="18">SUM(H25:H28)</f>
        <v>34872</v>
      </c>
      <c r="I29" s="45">
        <f t="shared" si="18"/>
        <v>38872</v>
      </c>
      <c r="J29" s="45">
        <f t="shared" si="18"/>
        <v>42872</v>
      </c>
      <c r="K29" s="45">
        <f t="shared" si="18"/>
        <v>46872</v>
      </c>
      <c r="L29" s="45">
        <f>SUM(L25:L28)</f>
        <v>50872</v>
      </c>
      <c r="M29" s="49" t="s">
        <v>115</v>
      </c>
      <c r="N29" s="10"/>
    </row>
    <row r="30" spans="2:14">
      <c r="B30" s="1" t="s">
        <v>116</v>
      </c>
      <c r="C30" s="50">
        <v>1441</v>
      </c>
      <c r="D30" s="50">
        <v>1074</v>
      </c>
      <c r="E30" s="50">
        <v>1124</v>
      </c>
      <c r="F30" s="50">
        <v>1158</v>
      </c>
      <c r="G30" s="50">
        <v>963</v>
      </c>
      <c r="H30" s="69">
        <f>G30</f>
        <v>963</v>
      </c>
      <c r="I30" s="69">
        <f t="shared" ref="I30:L30" si="19">H30</f>
        <v>963</v>
      </c>
      <c r="J30" s="69">
        <f t="shared" si="19"/>
        <v>963</v>
      </c>
      <c r="K30" s="69">
        <f t="shared" si="19"/>
        <v>963</v>
      </c>
      <c r="L30" s="69">
        <f t="shared" si="19"/>
        <v>963</v>
      </c>
      <c r="M30" s="49" t="s">
        <v>89</v>
      </c>
      <c r="N30" s="10"/>
    </row>
    <row r="31" spans="2:14" ht="15">
      <c r="B31" s="1" t="s">
        <v>117</v>
      </c>
      <c r="C31" s="50">
        <v>4000</v>
      </c>
      <c r="D31" s="50">
        <v>5000</v>
      </c>
      <c r="E31" s="50">
        <v>6000</v>
      </c>
      <c r="F31" s="50">
        <v>5000</v>
      </c>
      <c r="G31" s="50">
        <v>6000</v>
      </c>
      <c r="H31" s="65">
        <f>H95</f>
        <v>7000</v>
      </c>
      <c r="I31" s="65">
        <f t="shared" ref="I31:K31" si="20">I95</f>
        <v>8000</v>
      </c>
      <c r="J31" s="65">
        <f t="shared" si="20"/>
        <v>9000</v>
      </c>
      <c r="K31" s="65">
        <f t="shared" si="20"/>
        <v>10000</v>
      </c>
      <c r="L31" s="65">
        <f>L95</f>
        <v>11000</v>
      </c>
      <c r="M31" s="49" t="s">
        <v>118</v>
      </c>
      <c r="N31" s="10"/>
    </row>
    <row r="32" spans="2:14" ht="15">
      <c r="B32" s="1" t="s">
        <v>119</v>
      </c>
      <c r="C32" s="50">
        <v>7773</v>
      </c>
      <c r="D32" s="50">
        <v>8512</v>
      </c>
      <c r="E32" s="50">
        <v>9731</v>
      </c>
      <c r="F32" s="50">
        <v>9669</v>
      </c>
      <c r="G32" s="50">
        <v>10182</v>
      </c>
      <c r="H32" s="65">
        <f>H46</f>
        <v>10691.1</v>
      </c>
      <c r="I32" s="65">
        <f t="shared" ref="I32:L32" si="21">I46</f>
        <v>11225.655000000001</v>
      </c>
      <c r="J32" s="65">
        <f t="shared" si="21"/>
        <v>11786.937750000003</v>
      </c>
      <c r="K32" s="65">
        <f t="shared" si="21"/>
        <v>12376.284637500003</v>
      </c>
      <c r="L32" s="65">
        <f t="shared" si="21"/>
        <v>12995.098869375004</v>
      </c>
      <c r="M32" s="49" t="s">
        <v>120</v>
      </c>
      <c r="N32" s="10"/>
    </row>
    <row r="33" spans="2:14" ht="15">
      <c r="B33" s="1" t="s">
        <v>113</v>
      </c>
      <c r="C33" s="50">
        <v>9208</v>
      </c>
      <c r="D33" s="50">
        <v>10198</v>
      </c>
      <c r="E33" s="50">
        <v>13443</v>
      </c>
      <c r="F33" s="50">
        <v>15826</v>
      </c>
      <c r="G33" s="50">
        <v>17966</v>
      </c>
      <c r="H33" s="65">
        <f>H47</f>
        <v>18864.300000000003</v>
      </c>
      <c r="I33" s="65">
        <f t="shared" ref="I33:L33" si="22">I47</f>
        <v>19807.515000000003</v>
      </c>
      <c r="J33" s="65">
        <f t="shared" si="22"/>
        <v>20797.890750000006</v>
      </c>
      <c r="K33" s="65">
        <f t="shared" si="22"/>
        <v>21837.785287500006</v>
      </c>
      <c r="L33" s="65">
        <f t="shared" si="22"/>
        <v>22929.67455187501</v>
      </c>
      <c r="M33" s="49" t="s">
        <v>121</v>
      </c>
      <c r="N33" s="10"/>
    </row>
    <row r="34" spans="2:14">
      <c r="B34" s="2" t="s">
        <v>122</v>
      </c>
      <c r="C34" s="45">
        <f>SUM(C30:C33)</f>
        <v>22422</v>
      </c>
      <c r="D34" s="45">
        <f>SUM(D30:D33)</f>
        <v>24784</v>
      </c>
      <c r="E34" s="45">
        <f>SUM(E30:E33)</f>
        <v>30298</v>
      </c>
      <c r="F34" s="45">
        <f>SUM(F30:F33)</f>
        <v>31653</v>
      </c>
      <c r="G34" s="45">
        <f>SUM(G30:G33)</f>
        <v>35111</v>
      </c>
      <c r="H34" s="45">
        <f t="shared" ref="H34:K34" si="23">SUM(H30:H33)</f>
        <v>37518.400000000001</v>
      </c>
      <c r="I34" s="45">
        <f t="shared" si="23"/>
        <v>39996.17</v>
      </c>
      <c r="J34" s="45">
        <f t="shared" si="23"/>
        <v>42547.828500000011</v>
      </c>
      <c r="K34" s="45">
        <f t="shared" si="23"/>
        <v>45177.069925000003</v>
      </c>
      <c r="L34" s="45">
        <f>SUM(L30:L33)</f>
        <v>47887.773421250015</v>
      </c>
      <c r="M34" s="49" t="s">
        <v>123</v>
      </c>
      <c r="N34" s="10"/>
    </row>
    <row r="35" spans="2:14">
      <c r="C35" s="47"/>
      <c r="D35" s="47"/>
      <c r="E35" s="51"/>
      <c r="F35" s="47"/>
      <c r="G35" s="47"/>
      <c r="H35" s="46"/>
      <c r="I35" s="46"/>
      <c r="J35" s="46"/>
      <c r="K35" s="46"/>
      <c r="L35" s="46"/>
      <c r="N35" s="10"/>
    </row>
    <row r="36" spans="2:14">
      <c r="B36" s="2" t="s">
        <v>124</v>
      </c>
      <c r="C36" s="45">
        <f>SUM(C34,C29,C24,)</f>
        <v>86703</v>
      </c>
      <c r="D36" s="45">
        <f>SUM(D34,D29,D24,)</f>
        <v>94753</v>
      </c>
      <c r="E36" s="45">
        <f>SUM(E34,E29,E24,)</f>
        <v>104871</v>
      </c>
      <c r="F36" s="45">
        <f>SUM(F34,F29,F24,)</f>
        <v>116816</v>
      </c>
      <c r="G36" s="45">
        <f>SUM(G34,G29,G24,)</f>
        <v>126470</v>
      </c>
      <c r="H36" s="45">
        <f t="shared" ref="H36:K36" si="24">SUM(H34,H29,H24,)</f>
        <v>135480.68640780947</v>
      </c>
      <c r="I36" s="45">
        <f t="shared" si="24"/>
        <v>144655.55693239835</v>
      </c>
      <c r="J36" s="45">
        <f t="shared" si="24"/>
        <v>154009.83830327331</v>
      </c>
      <c r="K36" s="45">
        <f t="shared" si="24"/>
        <v>163556.83420952235</v>
      </c>
      <c r="L36" s="45">
        <f>SUM(L34,L29,L24,)</f>
        <v>173309.5613405921</v>
      </c>
      <c r="M36" s="49" t="s">
        <v>125</v>
      </c>
      <c r="N36" s="10"/>
    </row>
    <row r="37" spans="2:14"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spans="2:14">
      <c r="B38" t="s">
        <v>126</v>
      </c>
      <c r="C38" s="48">
        <f t="shared" ref="C38:L38" si="25">C18-C36</f>
        <v>0</v>
      </c>
      <c r="D38" s="48">
        <f t="shared" si="25"/>
        <v>0</v>
      </c>
      <c r="E38" s="48">
        <f t="shared" si="25"/>
        <v>0</v>
      </c>
      <c r="F38" s="48">
        <f t="shared" si="25"/>
        <v>0</v>
      </c>
      <c r="G38" s="48">
        <f t="shared" si="25"/>
        <v>0</v>
      </c>
      <c r="H38" s="48">
        <f t="shared" si="25"/>
        <v>0</v>
      </c>
      <c r="I38" s="48">
        <f t="shared" si="25"/>
        <v>0</v>
      </c>
      <c r="J38" s="48">
        <f t="shared" si="25"/>
        <v>0</v>
      </c>
      <c r="K38" s="48">
        <f t="shared" si="25"/>
        <v>0</v>
      </c>
      <c r="L38" s="48">
        <f t="shared" si="25"/>
        <v>0</v>
      </c>
    </row>
    <row r="40" spans="2:14">
      <c r="B40" s="19" t="s">
        <v>56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2:14">
      <c r="B41" t="s">
        <v>127</v>
      </c>
      <c r="C41" s="28"/>
      <c r="D41" s="30"/>
      <c r="E41" s="30"/>
      <c r="F41" s="30"/>
      <c r="G41" s="30"/>
      <c r="H41" s="30"/>
      <c r="I41" s="30"/>
      <c r="J41" s="30"/>
      <c r="K41" s="30"/>
      <c r="L41" s="30"/>
    </row>
    <row r="42" spans="2:14">
      <c r="B42" t="str">
        <f t="shared" ref="B42:G44" si="26">B12</f>
        <v>Inventories</v>
      </c>
      <c r="C42" s="43">
        <f t="shared" si="26"/>
        <v>11071</v>
      </c>
      <c r="D42" s="43">
        <f t="shared" si="26"/>
        <v>11841</v>
      </c>
      <c r="E42" s="43">
        <f t="shared" si="26"/>
        <v>12707</v>
      </c>
      <c r="F42" s="43">
        <f t="shared" si="26"/>
        <v>14248</v>
      </c>
      <c r="G42" s="43">
        <f t="shared" si="26"/>
        <v>15891</v>
      </c>
      <c r="H42" s="43">
        <f>H52*H55</f>
        <v>16685.55</v>
      </c>
      <c r="I42" s="43">
        <f t="shared" ref="I42:K42" si="27">I52*I55</f>
        <v>17519.827499999999</v>
      </c>
      <c r="J42" s="43">
        <f t="shared" si="27"/>
        <v>18395.818875000001</v>
      </c>
      <c r="K42" s="43">
        <f t="shared" si="27"/>
        <v>19315.609818750003</v>
      </c>
      <c r="L42" s="43">
        <f>L52*L55</f>
        <v>20281.390309687504</v>
      </c>
      <c r="M42" s="49" t="s">
        <v>128</v>
      </c>
    </row>
    <row r="43" spans="2:14">
      <c r="B43" t="str">
        <f t="shared" si="26"/>
        <v>Trade receivables</v>
      </c>
      <c r="C43" s="43">
        <f t="shared" si="26"/>
        <v>2751</v>
      </c>
      <c r="D43" s="43">
        <f t="shared" si="26"/>
        <v>2825</v>
      </c>
      <c r="E43" s="43">
        <f t="shared" si="26"/>
        <v>2667</v>
      </c>
      <c r="F43" s="43">
        <f t="shared" si="26"/>
        <v>2546</v>
      </c>
      <c r="G43" s="43">
        <f t="shared" si="26"/>
        <v>2518</v>
      </c>
      <c r="H43" s="43">
        <f xml:space="preserve"> H51*H56</f>
        <v>2643.9</v>
      </c>
      <c r="I43" s="43">
        <f t="shared" ref="I43:L43" si="28" xml:space="preserve"> I51*I56</f>
        <v>2776.0950000000003</v>
      </c>
      <c r="J43" s="43">
        <f t="shared" si="28"/>
        <v>2914.8997500000005</v>
      </c>
      <c r="K43" s="43">
        <f t="shared" si="28"/>
        <v>3060.6447375000007</v>
      </c>
      <c r="L43" s="43">
        <f t="shared" si="28"/>
        <v>3213.676974375001</v>
      </c>
      <c r="M43" s="49" t="s">
        <v>129</v>
      </c>
    </row>
    <row r="44" spans="2:14">
      <c r="B44" t="str">
        <f t="shared" si="26"/>
        <v>Other assets</v>
      </c>
      <c r="C44" s="43">
        <f t="shared" si="26"/>
        <v>4693</v>
      </c>
      <c r="D44" s="43">
        <f t="shared" si="26"/>
        <v>5087</v>
      </c>
      <c r="E44" s="43">
        <f t="shared" si="26"/>
        <v>7485</v>
      </c>
      <c r="F44" s="43">
        <f t="shared" si="26"/>
        <v>9749</v>
      </c>
      <c r="G44" s="43">
        <f t="shared" si="26"/>
        <v>11614</v>
      </c>
      <c r="H44" s="72">
        <f>H51*H57</f>
        <v>12194.699999999999</v>
      </c>
      <c r="I44" s="72">
        <f t="shared" ref="I44:L44" si="29">I51*I57</f>
        <v>12804.435000000001</v>
      </c>
      <c r="J44" s="72">
        <f t="shared" si="29"/>
        <v>13444.656750000002</v>
      </c>
      <c r="K44" s="72">
        <f t="shared" si="29"/>
        <v>14116.889587500002</v>
      </c>
      <c r="L44" s="72">
        <f t="shared" si="29"/>
        <v>14822.734066875004</v>
      </c>
      <c r="M44" s="49" t="s">
        <v>130</v>
      </c>
    </row>
    <row r="45" spans="2:14">
      <c r="C45" s="43"/>
      <c r="D45" s="43"/>
      <c r="E45" s="43"/>
      <c r="F45" s="43"/>
      <c r="G45" s="43"/>
      <c r="H45" s="43"/>
      <c r="I45" s="70"/>
      <c r="J45" s="70"/>
      <c r="K45" s="70"/>
      <c r="L45" s="70"/>
    </row>
    <row r="46" spans="2:14">
      <c r="B46" t="str">
        <f t="shared" ref="B46:G47" si="30">B32</f>
        <v>Trade payables</v>
      </c>
      <c r="C46" s="43">
        <f t="shared" si="30"/>
        <v>7773</v>
      </c>
      <c r="D46" s="43">
        <f t="shared" si="30"/>
        <v>8512</v>
      </c>
      <c r="E46" s="43">
        <f t="shared" si="30"/>
        <v>9731</v>
      </c>
      <c r="F46" s="43">
        <f t="shared" si="30"/>
        <v>9669</v>
      </c>
      <c r="G46" s="43">
        <f t="shared" si="30"/>
        <v>10182</v>
      </c>
      <c r="H46" s="72">
        <f>H52*H59</f>
        <v>10691.1</v>
      </c>
      <c r="I46" s="72">
        <f t="shared" ref="I46:L46" si="31">I52*I59</f>
        <v>11225.655000000001</v>
      </c>
      <c r="J46" s="72">
        <f t="shared" si="31"/>
        <v>11786.937750000003</v>
      </c>
      <c r="K46" s="72">
        <f t="shared" si="31"/>
        <v>12376.284637500003</v>
      </c>
      <c r="L46" s="72">
        <f t="shared" si="31"/>
        <v>12995.098869375004</v>
      </c>
      <c r="M46" s="49" t="s">
        <v>131</v>
      </c>
    </row>
    <row r="47" spans="2:14">
      <c r="B47" t="str">
        <f t="shared" si="30"/>
        <v>Other liabilities</v>
      </c>
      <c r="C47" s="43">
        <f t="shared" si="30"/>
        <v>9208</v>
      </c>
      <c r="D47" s="43">
        <f t="shared" si="30"/>
        <v>10198</v>
      </c>
      <c r="E47" s="43">
        <f t="shared" si="30"/>
        <v>13443</v>
      </c>
      <c r="F47" s="43">
        <f t="shared" si="30"/>
        <v>15826</v>
      </c>
      <c r="G47" s="43">
        <f t="shared" si="30"/>
        <v>17966</v>
      </c>
      <c r="H47" s="72">
        <f>H60*H51</f>
        <v>18864.300000000003</v>
      </c>
      <c r="I47" s="72">
        <f t="shared" ref="I47:L47" si="32">I60*I51</f>
        <v>19807.515000000003</v>
      </c>
      <c r="J47" s="72">
        <f t="shared" si="32"/>
        <v>20797.890750000006</v>
      </c>
      <c r="K47" s="72">
        <f t="shared" si="32"/>
        <v>21837.785287500006</v>
      </c>
      <c r="L47" s="72">
        <f t="shared" si="32"/>
        <v>22929.67455187501</v>
      </c>
      <c r="M47" s="49" t="s">
        <v>132</v>
      </c>
    </row>
    <row r="48" spans="2:14">
      <c r="B48" s="2" t="s">
        <v>133</v>
      </c>
      <c r="C48" s="45">
        <f>SUM(C42:C44)-SUM(C46:C47)</f>
        <v>1534</v>
      </c>
      <c r="D48" s="45">
        <f t="shared" ref="D48:L48" si="33">SUM(D42:D44)-SUM(D46:D47)</f>
        <v>1043</v>
      </c>
      <c r="E48" s="45">
        <f t="shared" si="33"/>
        <v>-315</v>
      </c>
      <c r="F48" s="45">
        <f t="shared" si="33"/>
        <v>1048</v>
      </c>
      <c r="G48" s="45">
        <f t="shared" si="33"/>
        <v>1875</v>
      </c>
      <c r="H48" s="45">
        <f t="shared" si="33"/>
        <v>1968.75</v>
      </c>
      <c r="I48" s="45">
        <f t="shared" si="33"/>
        <v>2067.1874999999927</v>
      </c>
      <c r="J48" s="45">
        <f t="shared" si="33"/>
        <v>2170.5468749999927</v>
      </c>
      <c r="K48" s="45">
        <f t="shared" si="33"/>
        <v>2279.0742187499927</v>
      </c>
      <c r="L48" s="71">
        <f t="shared" si="33"/>
        <v>2393.0279296874942</v>
      </c>
    </row>
    <row r="49" spans="2:16">
      <c r="B49" t="s">
        <v>134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1" spans="2:16" ht="15">
      <c r="B51" t="s">
        <v>2</v>
      </c>
      <c r="C51" s="66" cm="1">
        <f t="array" ref="C51:L51" xml:space="preserve"> IS!C5:L5</f>
        <v>92175</v>
      </c>
      <c r="D51" s="44">
        <v>94163</v>
      </c>
      <c r="E51" s="44">
        <v>98282</v>
      </c>
      <c r="F51" s="44">
        <v>96855</v>
      </c>
      <c r="G51" s="44">
        <v>104210</v>
      </c>
      <c r="H51" s="44">
        <v>109420.5</v>
      </c>
      <c r="I51" s="44">
        <v>114891.52500000001</v>
      </c>
      <c r="J51" s="44">
        <v>120636.10125000002</v>
      </c>
      <c r="K51" s="44">
        <v>126667.90631250002</v>
      </c>
      <c r="L51" s="44">
        <v>133001.30162812505</v>
      </c>
    </row>
    <row r="52" spans="2:16">
      <c r="B52" t="str">
        <f>IS!B6</f>
        <v>Cost of sales</v>
      </c>
      <c r="C52" s="44" cm="1">
        <f t="array" ref="C52:L52" xml:space="preserve"> IS!C6:L6</f>
        <v>-74043</v>
      </c>
      <c r="D52" s="44">
        <v>-75442</v>
      </c>
      <c r="E52" s="44">
        <v>-78329</v>
      </c>
      <c r="F52" s="44">
        <v>-78477</v>
      </c>
      <c r="G52" s="44">
        <v>-83000</v>
      </c>
      <c r="H52" s="44">
        <v>-87150</v>
      </c>
      <c r="I52" s="44">
        <v>-91507.5</v>
      </c>
      <c r="J52" s="44">
        <v>-96082.875000000015</v>
      </c>
      <c r="K52" s="44">
        <v>-100887.01875000002</v>
      </c>
      <c r="L52" s="44">
        <v>-105931.36968750003</v>
      </c>
    </row>
    <row r="53" spans="2:16">
      <c r="B53" t="s">
        <v>57</v>
      </c>
      <c r="D53" s="30"/>
      <c r="E53" s="30"/>
      <c r="F53" s="30"/>
      <c r="G53" s="30"/>
      <c r="H53" s="30"/>
      <c r="I53" s="30"/>
      <c r="J53" s="30"/>
      <c r="K53" s="30"/>
      <c r="L53" s="30"/>
    </row>
    <row r="55" spans="2:16" ht="15">
      <c r="B55" t="s">
        <v>135</v>
      </c>
      <c r="C55" s="30">
        <f>C42/C52</f>
        <v>-0.14952122415353242</v>
      </c>
      <c r="D55" s="30">
        <f t="shared" ref="D55:L55" si="34">D42/D52</f>
        <v>-0.15695501179714216</v>
      </c>
      <c r="E55" s="30">
        <f t="shared" si="34"/>
        <v>-0.16222599548060104</v>
      </c>
      <c r="F55" s="30">
        <f t="shared" si="34"/>
        <v>-0.18155637957618156</v>
      </c>
      <c r="G55" s="30">
        <f>G42/G52</f>
        <v>-0.1914578313253012</v>
      </c>
      <c r="H55" s="73">
        <f>G42/G52</f>
        <v>-0.1914578313253012</v>
      </c>
      <c r="I55" s="73">
        <f>G42/G52</f>
        <v>-0.1914578313253012</v>
      </c>
      <c r="J55" s="73">
        <f>G42/G52</f>
        <v>-0.1914578313253012</v>
      </c>
      <c r="K55" s="73">
        <f>G42/G52</f>
        <v>-0.1914578313253012</v>
      </c>
      <c r="L55" s="73">
        <f>G42/G52</f>
        <v>-0.1914578313253012</v>
      </c>
      <c r="M55" s="49" t="s">
        <v>136</v>
      </c>
      <c r="N55" s="49"/>
      <c r="O55" s="49"/>
      <c r="P55" t="s">
        <v>137</v>
      </c>
    </row>
    <row r="56" spans="2:16">
      <c r="B56" t="s">
        <v>138</v>
      </c>
      <c r="C56" s="32">
        <f>C43/C51</f>
        <v>2.9845402766476809E-2</v>
      </c>
      <c r="D56" s="32">
        <f t="shared" ref="D56:G56" si="35">D43/D51</f>
        <v>3.000116818707985E-2</v>
      </c>
      <c r="E56" s="32">
        <f t="shared" si="35"/>
        <v>2.7136199914531655E-2</v>
      </c>
      <c r="F56" s="32">
        <f t="shared" si="35"/>
        <v>2.6286717257756439E-2</v>
      </c>
      <c r="G56" s="32">
        <f>G43/G51</f>
        <v>2.4162748296708569E-2</v>
      </c>
      <c r="H56" s="30">
        <f>G43/G51</f>
        <v>2.4162748296708569E-2</v>
      </c>
      <c r="I56" s="30">
        <f>G43/G51</f>
        <v>2.4162748296708569E-2</v>
      </c>
      <c r="J56" s="30">
        <f>G43/G51</f>
        <v>2.4162748296708569E-2</v>
      </c>
      <c r="K56" s="30">
        <f>G43/G51</f>
        <v>2.4162748296708569E-2</v>
      </c>
      <c r="L56" s="30">
        <f>G43/G51</f>
        <v>2.4162748296708569E-2</v>
      </c>
      <c r="M56" s="49" t="s">
        <v>139</v>
      </c>
    </row>
    <row r="57" spans="2:16">
      <c r="B57" s="89" t="s">
        <v>140</v>
      </c>
      <c r="C57" s="90">
        <f>C44/C51</f>
        <v>5.0914022240303773E-2</v>
      </c>
      <c r="D57" s="90">
        <f t="shared" ref="D57:G57" si="36">D44/D51</f>
        <v>5.4023342501831932E-2</v>
      </c>
      <c r="E57" s="90">
        <f t="shared" si="36"/>
        <v>7.6158401334934164E-2</v>
      </c>
      <c r="F57" s="90">
        <f t="shared" si="36"/>
        <v>0.10065561922461412</v>
      </c>
      <c r="G57" s="90">
        <f>G44/G51</f>
        <v>0.11144803761635159</v>
      </c>
      <c r="H57" s="90">
        <f>G44/G51</f>
        <v>0.11144803761635159</v>
      </c>
      <c r="I57" s="90">
        <f>G44/G51</f>
        <v>0.11144803761635159</v>
      </c>
      <c r="J57" s="90">
        <f>G44/G51</f>
        <v>0.11144803761635159</v>
      </c>
      <c r="K57" s="90">
        <f>G44/G51</f>
        <v>0.11144803761635159</v>
      </c>
      <c r="L57" s="90">
        <f>G44/G51</f>
        <v>0.11144803761635159</v>
      </c>
      <c r="M57" s="49" t="s">
        <v>141</v>
      </c>
    </row>
    <row r="59" spans="2:16">
      <c r="B59" s="89" t="s">
        <v>142</v>
      </c>
      <c r="C59" s="90">
        <f>C46/C52</f>
        <v>-0.10497953891657551</v>
      </c>
      <c r="D59" s="90">
        <f t="shared" ref="D59:G59" si="37">D46/D52</f>
        <v>-0.11282839797460301</v>
      </c>
      <c r="E59" s="90">
        <f t="shared" si="37"/>
        <v>-0.12423240434577232</v>
      </c>
      <c r="F59" s="90">
        <f t="shared" si="37"/>
        <v>-0.12320807370312321</v>
      </c>
      <c r="G59" s="90">
        <f>G46/G52</f>
        <v>-0.12267469879518073</v>
      </c>
      <c r="H59" s="90">
        <f>G46/G52</f>
        <v>-0.12267469879518073</v>
      </c>
      <c r="I59" s="90">
        <f>G46/G52</f>
        <v>-0.12267469879518073</v>
      </c>
      <c r="J59" s="90">
        <f>G46/G52</f>
        <v>-0.12267469879518073</v>
      </c>
      <c r="K59" s="90">
        <f>G46/G52</f>
        <v>-0.12267469879518073</v>
      </c>
      <c r="L59" s="90">
        <f>G46/G52</f>
        <v>-0.12267469879518073</v>
      </c>
      <c r="M59" s="49" t="s">
        <v>143</v>
      </c>
    </row>
    <row r="60" spans="2:16">
      <c r="B60" s="89" t="s">
        <v>144</v>
      </c>
      <c r="C60" s="90">
        <f>C47/C51</f>
        <v>9.9896935177651205E-2</v>
      </c>
      <c r="D60" s="90">
        <f t="shared" ref="D60:G60" si="38">D47/D51</f>
        <v>0.10830156218472224</v>
      </c>
      <c r="E60" s="90">
        <f t="shared" si="38"/>
        <v>0.1367798783093547</v>
      </c>
      <c r="F60" s="90">
        <f t="shared" si="38"/>
        <v>0.16339889525579473</v>
      </c>
      <c r="G60" s="90">
        <f>G47/G51</f>
        <v>0.1724018808175799</v>
      </c>
      <c r="H60" s="90">
        <f>G47/G51</f>
        <v>0.1724018808175799</v>
      </c>
      <c r="I60" s="90">
        <f>G47/G51</f>
        <v>0.1724018808175799</v>
      </c>
      <c r="J60" s="90">
        <f>G47/G51</f>
        <v>0.1724018808175799</v>
      </c>
      <c r="K60" s="90">
        <f>G47/G51</f>
        <v>0.1724018808175799</v>
      </c>
      <c r="L60" s="90">
        <f>G47/G51</f>
        <v>0.1724018808175799</v>
      </c>
      <c r="M60" s="49" t="s">
        <v>145</v>
      </c>
    </row>
    <row r="62" spans="2:16">
      <c r="B62" s="1" t="s">
        <v>146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2:16">
      <c r="B63" s="1" t="s">
        <v>147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2:16">
      <c r="B64" s="1" t="s">
        <v>148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2:13">
      <c r="B65" s="2" t="s">
        <v>149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5"/>
    </row>
    <row r="66" spans="2:13">
      <c r="M66" s="35"/>
    </row>
    <row r="67" spans="2:13">
      <c r="B67" s="16" t="s">
        <v>150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35"/>
    </row>
    <row r="68" spans="2:13">
      <c r="B68" t="s">
        <v>151</v>
      </c>
      <c r="D68" s="10">
        <f>C71</f>
        <v>7372</v>
      </c>
      <c r="E68" s="10">
        <f t="shared" ref="E68:G68" si="39">D71</f>
        <v>8157</v>
      </c>
      <c r="F68" s="10">
        <f t="shared" si="39"/>
        <v>9464</v>
      </c>
      <c r="G68" s="10">
        <f t="shared" si="39"/>
        <v>10971</v>
      </c>
      <c r="H68" s="75">
        <f>G71</f>
        <v>11729</v>
      </c>
      <c r="I68" s="75">
        <f t="shared" ref="I68:L68" si="40">H71</f>
        <v>12453.460577887157</v>
      </c>
      <c r="J68" s="75">
        <f t="shared" si="40"/>
        <v>13167.07139436207</v>
      </c>
      <c r="K68" s="75">
        <f t="shared" si="40"/>
        <v>13885.345597242132</v>
      </c>
      <c r="L68" s="75">
        <f t="shared" si="40"/>
        <v>14619.095718880537</v>
      </c>
      <c r="M68" s="49" t="s">
        <v>152</v>
      </c>
    </row>
    <row r="69" spans="2:13">
      <c r="B69" s="1" t="s">
        <v>153</v>
      </c>
      <c r="D69" s="6">
        <v>3000</v>
      </c>
      <c r="E69" s="6">
        <v>3500</v>
      </c>
      <c r="F69" s="6">
        <v>4000</v>
      </c>
      <c r="G69" s="6">
        <v>4500</v>
      </c>
      <c r="H69" s="76">
        <f>H73*H51</f>
        <v>4725</v>
      </c>
      <c r="I69" s="76">
        <f t="shared" ref="I69:L69" si="41">I73*I51</f>
        <v>4961.2500000000009</v>
      </c>
      <c r="J69" s="76">
        <f t="shared" si="41"/>
        <v>5209.3125000000009</v>
      </c>
      <c r="K69" s="76">
        <f t="shared" si="41"/>
        <v>5469.7781250000016</v>
      </c>
      <c r="L69" s="76">
        <f t="shared" si="41"/>
        <v>5743.2670312500022</v>
      </c>
      <c r="M69" s="49" t="s">
        <v>154</v>
      </c>
    </row>
    <row r="70" spans="2:13">
      <c r="B70" s="1" t="s">
        <v>155</v>
      </c>
      <c r="D70" s="7">
        <f>D71-D68-D69</f>
        <v>-2215</v>
      </c>
      <c r="E70" s="7">
        <f t="shared" ref="E70:G70" si="42">E71-E68-E69</f>
        <v>-2193</v>
      </c>
      <c r="F70" s="7">
        <f t="shared" si="42"/>
        <v>-2493</v>
      </c>
      <c r="G70" s="7">
        <f t="shared" si="42"/>
        <v>-3742</v>
      </c>
      <c r="H70" s="76">
        <f>H74*H68</f>
        <v>-4000.5394221128431</v>
      </c>
      <c r="I70" s="76">
        <f t="shared" ref="I70:L70" si="43">I74*I68</f>
        <v>-4247.6391835250888</v>
      </c>
      <c r="J70" s="76">
        <f t="shared" si="43"/>
        <v>-4491.0382971199406</v>
      </c>
      <c r="K70" s="76">
        <f t="shared" si="43"/>
        <v>-4736.0280033615954</v>
      </c>
      <c r="L70" s="76">
        <f>L74*L68</f>
        <v>-4986.2962519415705</v>
      </c>
      <c r="M70" s="49" t="s">
        <v>156</v>
      </c>
    </row>
    <row r="71" spans="2:13">
      <c r="B71" s="2" t="s">
        <v>157</v>
      </c>
      <c r="C71" s="39">
        <f t="shared" ref="C71:F71" si="44">C7</f>
        <v>7372</v>
      </c>
      <c r="D71" s="39">
        <f t="shared" si="44"/>
        <v>8157</v>
      </c>
      <c r="E71" s="39">
        <f t="shared" si="44"/>
        <v>9464</v>
      </c>
      <c r="F71" s="39">
        <f t="shared" si="44"/>
        <v>10971</v>
      </c>
      <c r="G71" s="39">
        <f>G7</f>
        <v>11729</v>
      </c>
      <c r="H71" s="77">
        <f>SUM(H68:H70)</f>
        <v>12453.460577887157</v>
      </c>
      <c r="I71" s="77">
        <f t="shared" ref="I71:L71" si="45">SUM(I68:I70)</f>
        <v>13167.07139436207</v>
      </c>
      <c r="J71" s="77">
        <f t="shared" si="45"/>
        <v>13885.345597242132</v>
      </c>
      <c r="K71" s="77">
        <f t="shared" si="45"/>
        <v>14619.095718880537</v>
      </c>
      <c r="L71" s="78">
        <f>SUM(L68:L70)</f>
        <v>15376.066498188968</v>
      </c>
      <c r="M71" s="86" t="s">
        <v>158</v>
      </c>
    </row>
    <row r="72" spans="2:13">
      <c r="D72" s="49"/>
    </row>
    <row r="73" spans="2:13">
      <c r="B73" t="s">
        <v>159</v>
      </c>
      <c r="D73" s="74">
        <f>D69/D51</f>
        <v>3.1859647632297185E-2</v>
      </c>
      <c r="E73" s="74">
        <f t="shared" ref="E73:G73" si="46">E69/E51</f>
        <v>3.561181091145886E-2</v>
      </c>
      <c r="F73" s="74">
        <f>F69/F51</f>
        <v>4.1298848794589851E-2</v>
      </c>
      <c r="G73" s="74">
        <f>G69/G51</f>
        <v>4.3182036272910472E-2</v>
      </c>
      <c r="H73" s="74">
        <f>G69/G51</f>
        <v>4.3182036272910472E-2</v>
      </c>
      <c r="I73" s="74">
        <f>G69/G51</f>
        <v>4.3182036272910472E-2</v>
      </c>
      <c r="J73" s="74">
        <f>G69/G51</f>
        <v>4.3182036272910472E-2</v>
      </c>
      <c r="K73" s="74">
        <f>G69/G51</f>
        <v>4.3182036272910472E-2</v>
      </c>
      <c r="L73" s="74">
        <f>G69/G51</f>
        <v>4.3182036272910472E-2</v>
      </c>
      <c r="M73" s="49" t="s">
        <v>160</v>
      </c>
    </row>
    <row r="74" spans="2:13">
      <c r="B74" t="s">
        <v>161</v>
      </c>
      <c r="D74" s="74">
        <f>D70/D68</f>
        <v>-0.30046120455778624</v>
      </c>
      <c r="E74" s="74">
        <f t="shared" ref="E74:G74" si="47">E70/E68</f>
        <v>-0.26884884148584037</v>
      </c>
      <c r="F74" s="74">
        <f t="shared" si="47"/>
        <v>-0.26341927303465767</v>
      </c>
      <c r="G74" s="74">
        <f>G70/G68</f>
        <v>-0.34108103181113847</v>
      </c>
      <c r="H74" s="74">
        <f>G70/G68</f>
        <v>-0.34108103181113847</v>
      </c>
      <c r="I74" s="74">
        <f>G70/G68</f>
        <v>-0.34108103181113847</v>
      </c>
      <c r="J74" s="74">
        <f>G70/G68</f>
        <v>-0.34108103181113847</v>
      </c>
      <c r="K74" s="74">
        <f>G70/G68</f>
        <v>-0.34108103181113847</v>
      </c>
      <c r="L74" s="74">
        <f>G70/G68</f>
        <v>-0.34108103181113847</v>
      </c>
      <c r="M74" s="49" t="s">
        <v>162</v>
      </c>
    </row>
    <row r="76" spans="2:13">
      <c r="B76" s="16" t="s">
        <v>163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2:13">
      <c r="B77" t="s">
        <v>164</v>
      </c>
      <c r="D77" s="10">
        <f>C80</f>
        <v>50000</v>
      </c>
      <c r="E77" s="10">
        <f t="shared" ref="E77:G77" si="48">D80</f>
        <v>55000</v>
      </c>
      <c r="F77" s="10">
        <f t="shared" si="48"/>
        <v>60000</v>
      </c>
      <c r="G77" s="10">
        <f>F80</f>
        <v>64500</v>
      </c>
      <c r="H77" s="10">
        <f>G80</f>
        <v>68000</v>
      </c>
      <c r="I77" s="10">
        <f>H80</f>
        <v>71655.813953488367</v>
      </c>
      <c r="J77" s="10">
        <f>I80</f>
        <v>75476.571119524058</v>
      </c>
      <c r="K77" s="10">
        <f>J80</f>
        <v>79471.763832115408</v>
      </c>
      <c r="L77" s="10">
        <f>K80</f>
        <v>83651.272169409684</v>
      </c>
      <c r="M77" s="49" t="s">
        <v>165</v>
      </c>
    </row>
    <row r="78" spans="2:13">
      <c r="B78" s="1" t="s">
        <v>166</v>
      </c>
      <c r="D78" s="6">
        <v>7000</v>
      </c>
      <c r="E78" s="6">
        <v>8000</v>
      </c>
      <c r="F78" s="6">
        <v>8500</v>
      </c>
      <c r="G78" s="6">
        <v>8000</v>
      </c>
      <c r="H78" s="7">
        <f>H82*H51</f>
        <v>8400</v>
      </c>
      <c r="I78" s="7">
        <f t="shared" ref="I78:L78" si="49">I82*I51</f>
        <v>8820</v>
      </c>
      <c r="J78" s="7">
        <f t="shared" si="49"/>
        <v>9261.0000000000018</v>
      </c>
      <c r="K78" s="7">
        <f t="shared" si="49"/>
        <v>9724.0500000000011</v>
      </c>
      <c r="L78" s="7">
        <f t="shared" si="49"/>
        <v>10210.252500000002</v>
      </c>
      <c r="M78" s="49" t="s">
        <v>167</v>
      </c>
    </row>
    <row r="79" spans="2:13">
      <c r="B79" s="1" t="s">
        <v>168</v>
      </c>
      <c r="D79" s="6">
        <f>D80-SUM(D77:D78)</f>
        <v>-2000</v>
      </c>
      <c r="E79" s="6">
        <f t="shared" ref="E79:G79" si="50">E80-SUM(E77:E78)</f>
        <v>-3000</v>
      </c>
      <c r="F79" s="6">
        <f t="shared" si="50"/>
        <v>-4000</v>
      </c>
      <c r="G79" s="6">
        <f t="shared" si="50"/>
        <v>-4500</v>
      </c>
      <c r="H79" s="7">
        <f>H83*H77</f>
        <v>-4744.1860465116279</v>
      </c>
      <c r="I79" s="7">
        <f>I83*I77</f>
        <v>-4999.2428339643047</v>
      </c>
      <c r="J79" s="7">
        <f t="shared" ref="I79:L79" si="51">J83*J77</f>
        <v>-5265.8072874086556</v>
      </c>
      <c r="K79" s="7">
        <f t="shared" si="51"/>
        <v>-5544.5416627057257</v>
      </c>
      <c r="L79" s="7">
        <f t="shared" si="51"/>
        <v>-5836.1352676332335</v>
      </c>
      <c r="M79" s="49" t="s">
        <v>169</v>
      </c>
    </row>
    <row r="80" spans="2:13">
      <c r="B80" s="2" t="s">
        <v>170</v>
      </c>
      <c r="C80" s="53">
        <f>C8</f>
        <v>50000</v>
      </c>
      <c r="D80" s="53">
        <f>D8</f>
        <v>55000</v>
      </c>
      <c r="E80" s="53">
        <f>E8</f>
        <v>60000</v>
      </c>
      <c r="F80" s="53">
        <f>F8</f>
        <v>64500</v>
      </c>
      <c r="G80" s="53">
        <f>G8</f>
        <v>68000</v>
      </c>
      <c r="H80" s="39">
        <f>SUM(H77:H79)</f>
        <v>71655.813953488367</v>
      </c>
      <c r="I80" s="39">
        <f t="shared" ref="I80:L80" si="52">SUM(I77:I79)</f>
        <v>75476.571119524058</v>
      </c>
      <c r="J80" s="39">
        <f t="shared" si="52"/>
        <v>79471.763832115408</v>
      </c>
      <c r="K80" s="39">
        <f t="shared" si="52"/>
        <v>83651.272169409684</v>
      </c>
      <c r="L80" s="79">
        <f>SUM(L77:L79)</f>
        <v>88025.389401776454</v>
      </c>
      <c r="M80" s="49" t="s">
        <v>171</v>
      </c>
    </row>
    <row r="82" spans="2:13">
      <c r="B82" t="s">
        <v>172</v>
      </c>
      <c r="D82" s="30">
        <f>D78/D51</f>
        <v>7.4339177808693438E-2</v>
      </c>
      <c r="E82" s="30">
        <f t="shared" ref="E82:G82" si="53">E78/E51</f>
        <v>8.1398424940477401E-2</v>
      </c>
      <c r="F82" s="30">
        <f t="shared" si="53"/>
        <v>8.7760053688503439E-2</v>
      </c>
      <c r="G82" s="30">
        <f>G78/G51</f>
        <v>7.6768064485174162E-2</v>
      </c>
      <c r="H82" s="80">
        <f>G78/G51</f>
        <v>7.6768064485174162E-2</v>
      </c>
      <c r="I82" s="80">
        <f>G78/G51</f>
        <v>7.6768064485174162E-2</v>
      </c>
      <c r="J82" s="80">
        <f>G78/G51</f>
        <v>7.6768064485174162E-2</v>
      </c>
      <c r="K82" s="80">
        <f>G78/G51</f>
        <v>7.6768064485174162E-2</v>
      </c>
      <c r="L82" s="80">
        <f>G78/G51</f>
        <v>7.6768064485174162E-2</v>
      </c>
      <c r="M82" s="49" t="s">
        <v>173</v>
      </c>
    </row>
    <row r="83" spans="2:13">
      <c r="B83" t="s">
        <v>174</v>
      </c>
      <c r="D83" s="30">
        <f>D79/D77</f>
        <v>-0.04</v>
      </c>
      <c r="E83" s="30">
        <f t="shared" ref="E83:G83" si="54">E79/E77</f>
        <v>-5.4545454545454543E-2</v>
      </c>
      <c r="F83" s="30">
        <f t="shared" si="54"/>
        <v>-6.6666666666666666E-2</v>
      </c>
      <c r="G83" s="30">
        <f t="shared" si="54"/>
        <v>-6.9767441860465115E-2</v>
      </c>
      <c r="H83" s="80">
        <f>G79/G77</f>
        <v>-6.9767441860465115E-2</v>
      </c>
      <c r="I83" s="80">
        <f>G79/G77</f>
        <v>-6.9767441860465115E-2</v>
      </c>
      <c r="J83" s="80">
        <f>G79/G77</f>
        <v>-6.9767441860465115E-2</v>
      </c>
      <c r="K83" s="80">
        <f>G79/G77</f>
        <v>-6.9767441860465115E-2</v>
      </c>
      <c r="L83" s="80">
        <f>G79/G77</f>
        <v>-6.9767441860465115E-2</v>
      </c>
      <c r="M83" s="49" t="s">
        <v>175</v>
      </c>
    </row>
    <row r="85" spans="2:13">
      <c r="B85" s="36" t="s">
        <v>176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2:13">
      <c r="B86" t="s">
        <v>177</v>
      </c>
      <c r="D86" s="10">
        <f>C89</f>
        <v>10895</v>
      </c>
      <c r="E86" s="10">
        <f t="shared" ref="E86:G86" si="55">D89</f>
        <v>10081</v>
      </c>
      <c r="F86" s="10">
        <f t="shared" si="55"/>
        <v>10562</v>
      </c>
      <c r="G86" s="10">
        <f t="shared" si="55"/>
        <v>17129</v>
      </c>
      <c r="H86" s="10">
        <f>G89</f>
        <v>21805</v>
      </c>
      <c r="I86" s="10">
        <f t="shared" ref="I86:L86" si="56">H89</f>
        <v>25805</v>
      </c>
      <c r="J86" s="10">
        <f t="shared" si="56"/>
        <v>29805</v>
      </c>
      <c r="K86" s="10">
        <f t="shared" si="56"/>
        <v>33805</v>
      </c>
      <c r="L86" s="10">
        <f t="shared" si="56"/>
        <v>37805</v>
      </c>
      <c r="M86" s="49" t="s">
        <v>178</v>
      </c>
    </row>
    <row r="87" spans="2:13">
      <c r="B87" s="1" t="s">
        <v>179</v>
      </c>
      <c r="D87" s="6">
        <v>2000</v>
      </c>
      <c r="E87" s="6">
        <v>3800</v>
      </c>
      <c r="F87" s="6">
        <v>6600</v>
      </c>
      <c r="G87" s="6">
        <v>6000</v>
      </c>
      <c r="H87" s="6">
        <v>4000</v>
      </c>
      <c r="I87" s="6">
        <v>4000</v>
      </c>
      <c r="J87" s="6">
        <v>4000</v>
      </c>
      <c r="K87" s="6">
        <v>4000</v>
      </c>
      <c r="L87" s="6">
        <v>4000</v>
      </c>
      <c r="M87" t="s">
        <v>180</v>
      </c>
    </row>
    <row r="88" spans="2:13">
      <c r="B88" s="1" t="s">
        <v>181</v>
      </c>
      <c r="D88" s="6">
        <f>D89-SUM(D86:D87)</f>
        <v>-2814</v>
      </c>
      <c r="E88" s="6">
        <f t="shared" ref="E88:G88" si="57">E89-SUM(E86:E87)</f>
        <v>-3319</v>
      </c>
      <c r="F88" s="6">
        <f t="shared" si="57"/>
        <v>-33</v>
      </c>
      <c r="G88" s="6">
        <f t="shared" si="57"/>
        <v>-1324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t="s">
        <v>180</v>
      </c>
    </row>
    <row r="89" spans="2:13">
      <c r="B89" s="2" t="s">
        <v>182</v>
      </c>
      <c r="C89" s="53">
        <f t="shared" ref="C89:F89" si="58">C27</f>
        <v>10895</v>
      </c>
      <c r="D89" s="53">
        <f t="shared" si="58"/>
        <v>10081</v>
      </c>
      <c r="E89" s="53">
        <f t="shared" si="58"/>
        <v>10562</v>
      </c>
      <c r="F89" s="53">
        <f t="shared" si="58"/>
        <v>17129</v>
      </c>
      <c r="G89" s="53">
        <f>G27</f>
        <v>21805</v>
      </c>
      <c r="H89" s="39">
        <f>SUM(H86:H88)</f>
        <v>25805</v>
      </c>
      <c r="I89" s="39">
        <f>SUM(I86:I88)</f>
        <v>29805</v>
      </c>
      <c r="J89" s="39">
        <f t="shared" ref="I89:L89" si="59">SUM(J86:J88)</f>
        <v>33805</v>
      </c>
      <c r="K89" s="39">
        <f t="shared" si="59"/>
        <v>37805</v>
      </c>
      <c r="L89" s="78">
        <f>SUM(L86:L88)</f>
        <v>41805</v>
      </c>
      <c r="M89" s="49" t="s">
        <v>183</v>
      </c>
    </row>
    <row r="91" spans="2:13">
      <c r="B91" s="36" t="s">
        <v>184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2:13">
      <c r="B92" t="s">
        <v>185</v>
      </c>
      <c r="D92" s="10">
        <f>C95</f>
        <v>4000</v>
      </c>
      <c r="E92" s="10">
        <f t="shared" ref="E92:G92" si="60">D95</f>
        <v>5000</v>
      </c>
      <c r="F92" s="10">
        <f t="shared" si="60"/>
        <v>6000</v>
      </c>
      <c r="G92" s="10">
        <f t="shared" si="60"/>
        <v>5000</v>
      </c>
      <c r="H92" s="10">
        <f>G95</f>
        <v>6000</v>
      </c>
      <c r="I92" s="10">
        <f t="shared" ref="I92:L92" si="61">H95</f>
        <v>7000</v>
      </c>
      <c r="J92" s="10">
        <f t="shared" si="61"/>
        <v>8000</v>
      </c>
      <c r="K92" s="10">
        <f t="shared" si="61"/>
        <v>9000</v>
      </c>
      <c r="L92" s="10">
        <f t="shared" si="61"/>
        <v>10000</v>
      </c>
      <c r="M92" s="49" t="s">
        <v>186</v>
      </c>
    </row>
    <row r="93" spans="2:13">
      <c r="B93" s="1" t="s">
        <v>179</v>
      </c>
      <c r="D93" s="6">
        <v>5000</v>
      </c>
      <c r="E93" s="6">
        <v>3800</v>
      </c>
      <c r="F93" s="6">
        <v>4000</v>
      </c>
      <c r="G93" s="6">
        <v>4100</v>
      </c>
      <c r="H93" s="6">
        <v>1000</v>
      </c>
      <c r="I93" s="6">
        <v>1000</v>
      </c>
      <c r="J93" s="6">
        <v>1000</v>
      </c>
      <c r="K93" s="6">
        <v>1000</v>
      </c>
      <c r="L93" s="6">
        <v>1000</v>
      </c>
      <c r="M93" t="s">
        <v>180</v>
      </c>
    </row>
    <row r="94" spans="2:13">
      <c r="B94" s="1" t="s">
        <v>181</v>
      </c>
      <c r="D94" s="7">
        <f>D95-SUM(D92:D93)</f>
        <v>-4000</v>
      </c>
      <c r="E94" s="7">
        <f t="shared" ref="E94" si="62">E95-SUM(E92:E93)</f>
        <v>-2800</v>
      </c>
      <c r="F94" s="7">
        <f t="shared" ref="F94" si="63">F95-SUM(F92:F93)</f>
        <v>-5000</v>
      </c>
      <c r="G94" s="7">
        <f t="shared" ref="G94" si="64">G95-SUM(G92:G93)</f>
        <v>-3100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t="s">
        <v>180</v>
      </c>
    </row>
    <row r="95" spans="2:13">
      <c r="B95" s="2" t="s">
        <v>187</v>
      </c>
      <c r="C95" s="53">
        <f t="shared" ref="C95" si="65">C31</f>
        <v>4000</v>
      </c>
      <c r="D95" s="53">
        <f>D31</f>
        <v>5000</v>
      </c>
      <c r="E95" s="53">
        <f t="shared" ref="E95:G95" si="66">E31</f>
        <v>6000</v>
      </c>
      <c r="F95" s="53">
        <f t="shared" si="66"/>
        <v>5000</v>
      </c>
      <c r="G95" s="53">
        <f t="shared" si="66"/>
        <v>6000</v>
      </c>
      <c r="H95" s="39">
        <f>SUM(H92:H94)</f>
        <v>7000</v>
      </c>
      <c r="I95" s="39">
        <f t="shared" ref="I95:L95" si="67">SUM(I92:I94)</f>
        <v>8000</v>
      </c>
      <c r="J95" s="39">
        <f t="shared" si="67"/>
        <v>9000</v>
      </c>
      <c r="K95" s="39">
        <f t="shared" si="67"/>
        <v>10000</v>
      </c>
      <c r="L95" s="78">
        <f t="shared" si="67"/>
        <v>11000</v>
      </c>
      <c r="M95" s="49" t="s">
        <v>188</v>
      </c>
    </row>
  </sheetData>
  <pageMargins left="0.25" right="0.25" top="0.75" bottom="0.75" header="0.3" footer="0.3"/>
  <pageSetup paperSize="9" scale="53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E493-5B21-4349-9614-973F64709B67}">
  <dimension ref="A1:T44"/>
  <sheetViews>
    <sheetView showGridLines="0" tabSelected="1" zoomScale="130" zoomScaleNormal="130" workbookViewId="0">
      <pane xSplit="2" ySplit="4" topLeftCell="C22" activePane="bottomRight" state="frozen"/>
      <selection pane="bottomRight" activeCell="O31" sqref="O31"/>
      <selection pane="bottomLeft" activeCell="B46" sqref="B46"/>
      <selection pane="topRight" activeCell="B46" sqref="B46"/>
    </sheetView>
  </sheetViews>
  <sheetFormatPr defaultColWidth="8.85546875" defaultRowHeight="14.45" outlineLevelCol="1"/>
  <cols>
    <col min="1" max="1" width="2.28515625" customWidth="1"/>
    <col min="2" max="2" width="70.28515625" customWidth="1"/>
    <col min="3" max="7" width="8.85546875" customWidth="1" outlineLevel="1"/>
    <col min="10" max="13" width="8.85546875" customWidth="1"/>
  </cols>
  <sheetData>
    <row r="1" spans="1:20" ht="15" thickBot="1">
      <c r="A1" s="41" t="s">
        <v>189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20">
      <c r="A2" s="14" t="s">
        <v>190</v>
      </c>
    </row>
    <row r="3" spans="1:20" ht="15" thickBot="1"/>
    <row r="4" spans="1:20" ht="15" thickBot="1">
      <c r="B4" s="37"/>
      <c r="C4" s="38">
        <v>2021</v>
      </c>
      <c r="D4" s="38">
        <f>C4+1</f>
        <v>2022</v>
      </c>
      <c r="E4" s="38">
        <f t="shared" ref="E4:L4" si="0">D4+1</f>
        <v>2023</v>
      </c>
      <c r="F4" s="38">
        <f t="shared" si="0"/>
        <v>2024</v>
      </c>
      <c r="G4" s="38">
        <f t="shared" si="0"/>
        <v>2025</v>
      </c>
      <c r="H4" s="57">
        <f t="shared" si="0"/>
        <v>2026</v>
      </c>
      <c r="I4" s="57">
        <f t="shared" si="0"/>
        <v>2027</v>
      </c>
      <c r="J4" s="57">
        <f t="shared" si="0"/>
        <v>2028</v>
      </c>
      <c r="K4" s="57">
        <f t="shared" si="0"/>
        <v>2029</v>
      </c>
      <c r="L4" s="57">
        <f t="shared" si="0"/>
        <v>2030</v>
      </c>
    </row>
    <row r="5" spans="1:20" ht="15">
      <c r="B5" s="1" t="s">
        <v>191</v>
      </c>
      <c r="H5" s="9">
        <f>IS!H18</f>
        <v>5206.5728156189671</v>
      </c>
      <c r="I5" s="9">
        <f>IS!I18</f>
        <v>5394.2010491777355</v>
      </c>
      <c r="J5" s="9">
        <f>IS!J18</f>
        <v>5605.2457417498881</v>
      </c>
      <c r="K5" s="9">
        <f>IS!K18</f>
        <v>5835.5089624980556</v>
      </c>
      <c r="L5" s="9">
        <f>IS!L18</f>
        <v>6084.0472696394681</v>
      </c>
      <c r="M5" s="49" t="s">
        <v>192</v>
      </c>
    </row>
    <row r="6" spans="1:20" ht="15">
      <c r="B6" s="1" t="s">
        <v>193</v>
      </c>
      <c r="H6" s="9">
        <f>-SUM(IS!H14:H15)</f>
        <v>430.76682757992535</v>
      </c>
      <c r="I6" s="9">
        <f>-SUM(IS!I14:I15)</f>
        <v>492.74780254288385</v>
      </c>
      <c r="J6" s="9">
        <f>-SUM(IS!J14:J15)</f>
        <v>554.78798721070348</v>
      </c>
      <c r="K6" s="9">
        <f>-SUM(IS!K14:K15)</f>
        <v>619.10799924347202</v>
      </c>
      <c r="L6" s="9">
        <f>-SUM(IS!L14:L15)</f>
        <v>684.89255216601714</v>
      </c>
      <c r="M6" s="49" t="s">
        <v>194</v>
      </c>
    </row>
    <row r="7" spans="1:20" ht="15">
      <c r="B7" s="1" t="s">
        <v>195</v>
      </c>
      <c r="H7" s="9">
        <f>-IS!H12</f>
        <v>8744.7254686244705</v>
      </c>
      <c r="I7" s="9">
        <f>-IS!I12</f>
        <v>9246.8820174893935</v>
      </c>
      <c r="J7" s="9">
        <f>-IS!J12</f>
        <v>9756.8455845285971</v>
      </c>
      <c r="K7" s="9">
        <f>-IS!K12</f>
        <v>10280.56966606732</v>
      </c>
      <c r="L7" s="9">
        <f>-IS!L12</f>
        <v>10822.431519574804</v>
      </c>
      <c r="M7" s="91" t="s">
        <v>196</v>
      </c>
    </row>
    <row r="8" spans="1:20" ht="15">
      <c r="B8" s="1" t="s">
        <v>197</v>
      </c>
      <c r="H8" s="9"/>
      <c r="I8" s="9"/>
      <c r="J8" s="9"/>
      <c r="K8" s="9"/>
      <c r="L8" s="9"/>
    </row>
    <row r="9" spans="1:20" ht="15">
      <c r="B9" s="1" t="s">
        <v>198</v>
      </c>
      <c r="H9" s="9"/>
      <c r="I9" s="9"/>
      <c r="J9" s="9"/>
      <c r="K9" s="9"/>
      <c r="L9" s="9"/>
      <c r="T9" t="s">
        <v>199</v>
      </c>
    </row>
    <row r="10" spans="1:20" ht="15">
      <c r="B10" s="1" t="s">
        <v>200</v>
      </c>
      <c r="H10" s="9"/>
      <c r="I10" s="9"/>
      <c r="J10" s="9"/>
      <c r="K10" s="9"/>
      <c r="L10" s="9"/>
      <c r="T10" t="s">
        <v>201</v>
      </c>
    </row>
    <row r="11" spans="1:20" ht="15">
      <c r="B11" s="40" t="s">
        <v>202</v>
      </c>
      <c r="H11" s="9">
        <f>BS!G42-BS!H42</f>
        <v>-794.54999999999927</v>
      </c>
      <c r="I11" s="9">
        <f>BS!H42-BS!I42</f>
        <v>-834.27750000000015</v>
      </c>
      <c r="J11" s="9">
        <f>BS!I42-BS!J42</f>
        <v>-875.99137500000143</v>
      </c>
      <c r="K11" s="9">
        <f>BS!J42-BS!K42</f>
        <v>-919.79094375000204</v>
      </c>
      <c r="L11" s="9">
        <f>BS!K42-BS!L42</f>
        <v>-965.78049093750087</v>
      </c>
      <c r="M11" s="49" t="s">
        <v>203</v>
      </c>
      <c r="T11" t="s">
        <v>204</v>
      </c>
    </row>
    <row r="12" spans="1:20" ht="15">
      <c r="B12" s="40" t="s">
        <v>205</v>
      </c>
      <c r="H12" s="9">
        <f>BS!G43-BS!H43</f>
        <v>-125.90000000000009</v>
      </c>
      <c r="I12" s="9">
        <f>BS!H43-BS!I43</f>
        <v>-132.19500000000016</v>
      </c>
      <c r="J12" s="9">
        <f>BS!I43-BS!J43</f>
        <v>-138.80475000000024</v>
      </c>
      <c r="K12" s="9">
        <f>BS!J43-BS!K43</f>
        <v>-145.74498750000021</v>
      </c>
      <c r="L12" s="9">
        <f>BS!K43-BS!L43</f>
        <v>-153.03223687500031</v>
      </c>
      <c r="M12" s="49" t="s">
        <v>206</v>
      </c>
      <c r="T12" t="s">
        <v>207</v>
      </c>
    </row>
    <row r="13" spans="1:20" ht="15">
      <c r="B13" s="40" t="s">
        <v>208</v>
      </c>
      <c r="H13" s="9">
        <f>BS!G44-BS!H44</f>
        <v>-580.69999999999891</v>
      </c>
      <c r="I13" s="9">
        <f>BS!H44-BS!I44</f>
        <v>-609.7350000000024</v>
      </c>
      <c r="J13" s="9">
        <f>BS!I44-BS!J44</f>
        <v>-640.22175000000061</v>
      </c>
      <c r="K13" s="9">
        <f>BS!J44-BS!K44</f>
        <v>-672.23283749999973</v>
      </c>
      <c r="L13" s="9">
        <f>BS!K44-BS!L44</f>
        <v>-705.84447937500227</v>
      </c>
      <c r="M13" s="49" t="s">
        <v>209</v>
      </c>
    </row>
    <row r="14" spans="1:20" ht="15">
      <c r="B14" s="40"/>
      <c r="H14" s="9"/>
      <c r="I14" s="9"/>
      <c r="J14" s="9"/>
      <c r="K14" s="9"/>
      <c r="L14" s="9"/>
    </row>
    <row r="15" spans="1:20" ht="15">
      <c r="B15" s="40" t="s">
        <v>210</v>
      </c>
      <c r="H15" s="9">
        <f>-BS!G46+BS!H46</f>
        <v>509.10000000000036</v>
      </c>
      <c r="I15" s="9">
        <f>-BS!H46+BS!I46</f>
        <v>534.55500000000029</v>
      </c>
      <c r="J15" s="9">
        <f>-BS!I46+BS!J46</f>
        <v>561.28275000000212</v>
      </c>
      <c r="K15" s="9">
        <f>-BS!J46+BS!K46</f>
        <v>589.34688749999987</v>
      </c>
      <c r="L15" s="9">
        <f>-BS!K46+BS!L46</f>
        <v>618.8142318750015</v>
      </c>
      <c r="M15" s="49" t="s">
        <v>211</v>
      </c>
      <c r="T15" t="s">
        <v>212</v>
      </c>
    </row>
    <row r="16" spans="1:20" ht="15">
      <c r="B16" s="40" t="s">
        <v>213</v>
      </c>
      <c r="H16" s="9">
        <f>-BS!G47+BS!H47</f>
        <v>898.30000000000291</v>
      </c>
      <c r="I16" s="9">
        <f>-BS!H47+BS!I47</f>
        <v>943.21500000000015</v>
      </c>
      <c r="J16" s="9">
        <f>-BS!I47+BS!J47</f>
        <v>990.37575000000288</v>
      </c>
      <c r="K16" s="9">
        <f>-BS!J47+BS!K47</f>
        <v>1039.8945375000003</v>
      </c>
      <c r="L16" s="9">
        <f>-BS!K47+BS!L47</f>
        <v>1091.8892643750041</v>
      </c>
      <c r="M16" s="49" t="s">
        <v>214</v>
      </c>
      <c r="T16" t="s">
        <v>215</v>
      </c>
    </row>
    <row r="17" spans="2:20" ht="15">
      <c r="B17" s="2" t="s">
        <v>216</v>
      </c>
      <c r="C17" s="2"/>
      <c r="D17" s="2"/>
      <c r="E17" s="2"/>
      <c r="F17" s="2"/>
      <c r="G17" s="2"/>
      <c r="H17" s="39">
        <f xml:space="preserve"> SUM(H5:H16)</f>
        <v>14288.315111823367</v>
      </c>
      <c r="I17" s="39">
        <f t="shared" ref="I17:L17" si="1" xml:space="preserve"> SUM(I5:I16)</f>
        <v>15035.393369210011</v>
      </c>
      <c r="J17" s="39">
        <f t="shared" si="1"/>
        <v>15813.519938489193</v>
      </c>
      <c r="K17" s="39">
        <f t="shared" si="1"/>
        <v>16626.659284058849</v>
      </c>
      <c r="L17" s="78">
        <f xml:space="preserve"> SUM(L5:L16)</f>
        <v>17477.417630442793</v>
      </c>
    </row>
    <row r="18" spans="2:20" ht="15">
      <c r="T18" t="s">
        <v>217</v>
      </c>
    </row>
    <row r="19" spans="2:20" ht="15">
      <c r="B19" s="1" t="s">
        <v>218</v>
      </c>
      <c r="H19" s="9">
        <f>-BS!H69</f>
        <v>-4725</v>
      </c>
      <c r="I19" s="9">
        <f>-BS!I69</f>
        <v>-4961.2500000000009</v>
      </c>
      <c r="J19" s="9">
        <f>-BS!J69</f>
        <v>-5209.3125000000009</v>
      </c>
      <c r="K19" s="9">
        <f>-BS!K69</f>
        <v>-5469.7781250000016</v>
      </c>
      <c r="L19" s="9">
        <f>-BS!L69</f>
        <v>-5743.2670312500022</v>
      </c>
      <c r="M19" s="49" t="s">
        <v>219</v>
      </c>
    </row>
    <row r="20" spans="2:20" ht="15">
      <c r="B20" s="1" t="s">
        <v>220</v>
      </c>
      <c r="H20" s="9">
        <f>-BS!H78</f>
        <v>-8400</v>
      </c>
      <c r="I20" s="9">
        <f>-BS!I78</f>
        <v>-8820</v>
      </c>
      <c r="J20" s="9">
        <f>-BS!J78</f>
        <v>-9261.0000000000018</v>
      </c>
      <c r="K20" s="9">
        <f>-BS!K78</f>
        <v>-9724.0500000000011</v>
      </c>
      <c r="L20" s="9">
        <f>-BS!L78</f>
        <v>-10210.252500000002</v>
      </c>
      <c r="M20" s="49" t="s">
        <v>221</v>
      </c>
    </row>
    <row r="21" spans="2:20" ht="15">
      <c r="B21" s="1" t="s">
        <v>222</v>
      </c>
      <c r="H21" s="9"/>
      <c r="I21" s="9"/>
      <c r="J21" s="9"/>
      <c r="K21" s="9"/>
      <c r="L21" s="9"/>
    </row>
    <row r="22" spans="2:20" ht="15">
      <c r="B22" s="2" t="s">
        <v>223</v>
      </c>
      <c r="C22" s="2"/>
      <c r="D22" s="2"/>
      <c r="E22" s="2"/>
      <c r="F22" s="2"/>
      <c r="G22" s="2"/>
      <c r="H22" s="39">
        <f>SUM(H19:H21)</f>
        <v>-13125</v>
      </c>
      <c r="I22" s="39">
        <f t="shared" ref="I22:L22" si="2">SUM(I19:I21)</f>
        <v>-13781.25</v>
      </c>
      <c r="J22" s="39">
        <f t="shared" si="2"/>
        <v>-14470.312500000004</v>
      </c>
      <c r="K22" s="39">
        <f t="shared" si="2"/>
        <v>-15193.828125000004</v>
      </c>
      <c r="L22" s="78">
        <f>SUM(L19:L21)</f>
        <v>-15953.519531250004</v>
      </c>
    </row>
    <row r="23" spans="2:20" ht="15"/>
    <row r="24" spans="2:20" ht="15">
      <c r="B24" t="s">
        <v>224</v>
      </c>
      <c r="H24" s="9">
        <f>-IS!H23</f>
        <v>-2603.2864078094835</v>
      </c>
      <c r="I24" s="9">
        <f>-IS!I23</f>
        <v>-2697.1005245888678</v>
      </c>
      <c r="J24" s="9">
        <f>-IS!J23</f>
        <v>-2802.6228708749441</v>
      </c>
      <c r="K24" s="9">
        <f>-IS!K23</f>
        <v>-2917.7544812490278</v>
      </c>
      <c r="L24" s="9">
        <f>-IS!L23</f>
        <v>-3042.0236348197341</v>
      </c>
      <c r="M24" s="49" t="s">
        <v>225</v>
      </c>
    </row>
    <row r="25" spans="2:20" ht="15">
      <c r="B25" t="s">
        <v>226</v>
      </c>
      <c r="H25" s="10">
        <f>-H6</f>
        <v>-430.76682757992535</v>
      </c>
      <c r="I25" s="10">
        <f t="shared" ref="I25:L25" si="3">-I6</f>
        <v>-492.74780254288385</v>
      </c>
      <c r="J25" s="10">
        <f t="shared" si="3"/>
        <v>-554.78798721070348</v>
      </c>
      <c r="K25" s="10">
        <f t="shared" si="3"/>
        <v>-619.10799924347202</v>
      </c>
      <c r="L25" s="10">
        <f>-L6</f>
        <v>-684.89255216601714</v>
      </c>
      <c r="M25" s="49" t="s">
        <v>227</v>
      </c>
    </row>
    <row r="26" spans="2:20" ht="15">
      <c r="B26" t="s">
        <v>228</v>
      </c>
      <c r="H26" s="9">
        <f>BS!H87</f>
        <v>4000</v>
      </c>
      <c r="I26" s="9">
        <f>BS!I87</f>
        <v>4000</v>
      </c>
      <c r="J26" s="9">
        <f>BS!J87</f>
        <v>4000</v>
      </c>
      <c r="K26" s="9">
        <f>BS!K87</f>
        <v>4000</v>
      </c>
      <c r="L26" s="9">
        <f>BS!L87</f>
        <v>4000</v>
      </c>
      <c r="M26" s="49" t="s">
        <v>229</v>
      </c>
    </row>
    <row r="27" spans="2:20" ht="15">
      <c r="B27" t="s">
        <v>230</v>
      </c>
      <c r="H27" s="9"/>
      <c r="I27" s="9"/>
      <c r="J27" s="9"/>
      <c r="K27" s="9"/>
      <c r="L27" s="9"/>
    </row>
    <row r="28" spans="2:20" ht="15">
      <c r="B28" t="s">
        <v>231</v>
      </c>
      <c r="H28" s="9"/>
      <c r="I28" s="9"/>
      <c r="J28" s="9"/>
      <c r="K28" s="9"/>
      <c r="L28" s="9"/>
    </row>
    <row r="29" spans="2:20" ht="15">
      <c r="B29" t="s">
        <v>232</v>
      </c>
      <c r="H29" s="9">
        <f>BS!H93</f>
        <v>1000</v>
      </c>
      <c r="I29" s="9">
        <f>BS!I93</f>
        <v>1000</v>
      </c>
      <c r="J29" s="9">
        <f>BS!J93</f>
        <v>1000</v>
      </c>
      <c r="K29" s="9">
        <f>BS!K93</f>
        <v>1000</v>
      </c>
      <c r="L29" s="9">
        <f>BS!L93</f>
        <v>1000</v>
      </c>
      <c r="M29" s="49" t="s">
        <v>233</v>
      </c>
    </row>
    <row r="30" spans="2:20" ht="15">
      <c r="B30" s="2" t="s">
        <v>234</v>
      </c>
      <c r="C30" s="2"/>
      <c r="D30" s="2"/>
      <c r="E30" s="2"/>
      <c r="F30" s="2"/>
      <c r="G30" s="2"/>
      <c r="H30" s="39">
        <f>SUM(H24:H29)</f>
        <v>1965.9467646105913</v>
      </c>
      <c r="I30" s="39">
        <f t="shared" ref="I30:L30" si="4">SUM(I24:I29)</f>
        <v>1810.1516728682482</v>
      </c>
      <c r="J30" s="39">
        <f t="shared" si="4"/>
        <v>1642.5891419143527</v>
      </c>
      <c r="K30" s="39">
        <f t="shared" si="4"/>
        <v>1463.1375195075002</v>
      </c>
      <c r="L30" s="78">
        <f>SUM(L24:L29)</f>
        <v>1273.0838130142488</v>
      </c>
    </row>
    <row r="31" spans="2:20" ht="15"/>
    <row r="32" spans="2:20" ht="15">
      <c r="B32" s="2" t="s">
        <v>235</v>
      </c>
      <c r="C32" s="2"/>
      <c r="D32" s="2"/>
      <c r="E32" s="2"/>
      <c r="F32" s="2"/>
      <c r="G32" s="2"/>
      <c r="H32" s="39">
        <f>H17+H22+H30</f>
        <v>3129.2618764339586</v>
      </c>
      <c r="I32" s="39">
        <f t="shared" ref="I32:L32" si="5">I17+I22+I30</f>
        <v>3064.295042078259</v>
      </c>
      <c r="J32" s="39">
        <f t="shared" si="5"/>
        <v>2985.7965804035421</v>
      </c>
      <c r="K32" s="39">
        <f t="shared" si="5"/>
        <v>2895.9686785663457</v>
      </c>
      <c r="L32" s="39">
        <f t="shared" si="5"/>
        <v>2796.981912207038</v>
      </c>
      <c r="M32" s="49" t="s">
        <v>236</v>
      </c>
    </row>
    <row r="33" spans="2:13" ht="15">
      <c r="B33" t="s">
        <v>237</v>
      </c>
      <c r="H33" s="9">
        <f>BS!G15</f>
        <v>12036</v>
      </c>
      <c r="I33" s="9">
        <f>BS!H15</f>
        <v>15165.261876433959</v>
      </c>
      <c r="J33" s="9">
        <f>BS!I15</f>
        <v>18229.556918512219</v>
      </c>
      <c r="K33" s="9">
        <f>BS!J15</f>
        <v>21215.35349891576</v>
      </c>
      <c r="L33" s="9">
        <f>BS!K15</f>
        <v>24111.322177482107</v>
      </c>
      <c r="M33" s="86" t="s">
        <v>238</v>
      </c>
    </row>
    <row r="34" spans="2:13" ht="15">
      <c r="B34" s="2" t="s">
        <v>239</v>
      </c>
      <c r="C34" s="2"/>
      <c r="D34" s="2"/>
      <c r="E34" s="2"/>
      <c r="F34" s="2"/>
      <c r="G34" s="2"/>
      <c r="H34" s="39">
        <f>SUM(H32:H33)</f>
        <v>15165.261876433959</v>
      </c>
      <c r="I34" s="39">
        <f t="shared" ref="I34:L34" si="6">SUM(I32:I33)</f>
        <v>18229.556918512219</v>
      </c>
      <c r="J34" s="39">
        <f t="shared" si="6"/>
        <v>21215.35349891576</v>
      </c>
      <c r="K34" s="39">
        <f t="shared" si="6"/>
        <v>24111.322177482107</v>
      </c>
      <c r="L34" s="78">
        <f>SUM(L32:L33)</f>
        <v>26908.304089689143</v>
      </c>
    </row>
    <row r="35" spans="2:13" ht="15"/>
    <row r="36" spans="2:13" ht="15">
      <c r="B36" s="49" t="s">
        <v>240</v>
      </c>
    </row>
    <row r="37" spans="2:13" ht="15"/>
    <row r="38" spans="2:13" ht="15"/>
    <row r="40" spans="2:13" ht="15"/>
    <row r="41" spans="2:13" ht="15"/>
    <row r="42" spans="2:13" ht="15"/>
    <row r="44" spans="2:13" ht="1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AlphaTech Equities</dc:creator>
  <cp:keywords/>
  <dc:description/>
  <cp:lastModifiedBy/>
  <cp:revision/>
  <dcterms:created xsi:type="dcterms:W3CDTF">2021-01-14T19:09:30Z</dcterms:created>
  <dcterms:modified xsi:type="dcterms:W3CDTF">2026-07-01T13:32:46Z</dcterms:modified>
  <cp:category/>
  <cp:contentStatus/>
</cp:coreProperties>
</file>