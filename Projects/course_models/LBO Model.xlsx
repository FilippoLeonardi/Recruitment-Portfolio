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3BB258F1-BBA6-46C8-A825-0C32D0FF84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B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4" i="1" l="1"/>
  <c r="P48" i="1"/>
  <c r="N42" i="1"/>
  <c r="K121" i="1"/>
  <c r="K115" i="1"/>
  <c r="K109" i="1"/>
  <c r="L106" i="1" s="1"/>
  <c r="L118" i="1"/>
  <c r="L112" i="1"/>
  <c r="L113" i="1" s="1"/>
  <c r="L104" i="1"/>
  <c r="M104" i="1" s="1"/>
  <c r="N104" i="1" s="1"/>
  <c r="O104" i="1" s="1"/>
  <c r="P104" i="1" s="1"/>
  <c r="O74" i="1"/>
  <c r="N74" i="1"/>
  <c r="M74" i="1"/>
  <c r="L74" i="1"/>
  <c r="L92" i="1"/>
  <c r="M92" i="1" s="1"/>
  <c r="N92" i="1" s="1"/>
  <c r="O92" i="1" s="1"/>
  <c r="P92" i="1" s="1"/>
  <c r="K88" i="1"/>
  <c r="L80" i="1"/>
  <c r="M80" i="1" s="1"/>
  <c r="N80" i="1" s="1"/>
  <c r="O80" i="1" s="1"/>
  <c r="P80" i="1" s="1"/>
  <c r="D38" i="1"/>
  <c r="K62" i="1"/>
  <c r="K56" i="1"/>
  <c r="K50" i="1"/>
  <c r="M48" i="1"/>
  <c r="L48" i="1"/>
  <c r="O48" i="1"/>
  <c r="N48" i="1"/>
  <c r="K47" i="1"/>
  <c r="P85" i="1" s="1"/>
  <c r="L46" i="1"/>
  <c r="M46" i="1" s="1"/>
  <c r="N46" i="1" s="1"/>
  <c r="O46" i="1" s="1"/>
  <c r="P46" i="1" s="1"/>
  <c r="J28" i="1"/>
  <c r="P134" i="1" s="1"/>
  <c r="L107" i="1" l="1"/>
  <c r="K81" i="1"/>
  <c r="P63" i="1"/>
  <c r="P82" i="1" s="1"/>
  <c r="P89" i="1"/>
  <c r="P51" i="1"/>
  <c r="O57" i="1"/>
  <c r="P57" i="1"/>
  <c r="P38" i="1"/>
  <c r="P35" i="1"/>
  <c r="D42" i="1"/>
  <c r="D40" i="1" s="1"/>
  <c r="P139" i="1" s="1"/>
  <c r="P36" i="1"/>
  <c r="L119" i="1"/>
  <c r="L125" i="1"/>
  <c r="K128" i="1" s="1"/>
  <c r="O89" i="1"/>
  <c r="N89" i="1"/>
  <c r="M89" i="1"/>
  <c r="L89" i="1"/>
  <c r="K89" i="1"/>
  <c r="O85" i="1"/>
  <c r="N85" i="1"/>
  <c r="M85" i="1"/>
  <c r="L85" i="1"/>
  <c r="K85" i="1"/>
  <c r="L126" i="1"/>
  <c r="K53" i="1"/>
  <c r="L47" i="1"/>
  <c r="O51" i="1"/>
  <c r="N51" i="1"/>
  <c r="M51" i="1"/>
  <c r="L51" i="1"/>
  <c r="K51" i="1"/>
  <c r="L50" i="1" s="1"/>
  <c r="N57" i="1"/>
  <c r="M57" i="1"/>
  <c r="L57" i="1"/>
  <c r="K57" i="1"/>
  <c r="L56" i="1" s="1"/>
  <c r="O63" i="1"/>
  <c r="N63" i="1"/>
  <c r="N82" i="1" s="1"/>
  <c r="M63" i="1"/>
  <c r="M82" i="1" s="1"/>
  <c r="L63" i="1"/>
  <c r="L82" i="1" s="1"/>
  <c r="K63" i="1"/>
  <c r="O82" i="1" l="1"/>
  <c r="P42" i="1"/>
  <c r="F37" i="1"/>
  <c r="F36" i="1"/>
  <c r="F35" i="1"/>
  <c r="F38" i="1" s="1"/>
  <c r="L68" i="1"/>
  <c r="F42" i="1"/>
  <c r="F40" i="1" s="1"/>
  <c r="L62" i="1"/>
  <c r="L81" i="1" s="1"/>
  <c r="L94" i="1" s="1"/>
  <c r="K82" i="1"/>
  <c r="L88" i="1"/>
  <c r="L95" i="1" s="1"/>
  <c r="L84" i="1"/>
  <c r="L86" i="1" s="1"/>
  <c r="L96" i="1" s="1"/>
  <c r="L53" i="1"/>
  <c r="M47" i="1"/>
  <c r="K59" i="1"/>
  <c r="P60" i="1" s="1"/>
  <c r="K54" i="1"/>
  <c r="M88" i="1" l="1"/>
  <c r="M95" i="1" s="1"/>
  <c r="M84" i="1"/>
  <c r="M86" i="1" s="1"/>
  <c r="M96" i="1" s="1"/>
  <c r="K65" i="1"/>
  <c r="K60" i="1"/>
  <c r="O60" i="1"/>
  <c r="N60" i="1"/>
  <c r="M60" i="1"/>
  <c r="L60" i="1"/>
  <c r="N47" i="1"/>
  <c r="M62" i="1"/>
  <c r="M81" i="1" s="1"/>
  <c r="M94" i="1" s="1"/>
  <c r="M56" i="1"/>
  <c r="M50" i="1"/>
  <c r="M53" i="1" s="1"/>
  <c r="L59" i="1"/>
  <c r="L54" i="1"/>
  <c r="J19" i="1" l="1"/>
  <c r="P66" i="1"/>
  <c r="O38" i="1"/>
  <c r="O35" i="1"/>
  <c r="E35" i="1"/>
  <c r="E37" i="1"/>
  <c r="E36" i="1"/>
  <c r="J21" i="1"/>
  <c r="L65" i="1"/>
  <c r="L70" i="1"/>
  <c r="N88" i="1"/>
  <c r="N95" i="1" s="1"/>
  <c r="N84" i="1"/>
  <c r="N86" i="1" s="1"/>
  <c r="N96" i="1" s="1"/>
  <c r="M59" i="1"/>
  <c r="M65" i="1" s="1"/>
  <c r="M54" i="1"/>
  <c r="O47" i="1"/>
  <c r="N62" i="1"/>
  <c r="N81" i="1" s="1"/>
  <c r="N94" i="1" s="1"/>
  <c r="N56" i="1"/>
  <c r="N50" i="1"/>
  <c r="N53" i="1" s="1"/>
  <c r="K66" i="1"/>
  <c r="L66" i="1"/>
  <c r="O66" i="1"/>
  <c r="N66" i="1"/>
  <c r="M66" i="1"/>
  <c r="P47" i="1" l="1"/>
  <c r="O56" i="1"/>
  <c r="O50" i="1"/>
  <c r="E38" i="1"/>
  <c r="O36" i="1"/>
  <c r="O42" i="1" s="1"/>
  <c r="E42" i="1"/>
  <c r="E40" i="1" s="1"/>
  <c r="O88" i="1"/>
  <c r="O95" i="1" s="1"/>
  <c r="O84" i="1"/>
  <c r="L71" i="1"/>
  <c r="L73" i="1"/>
  <c r="L76" i="1" s="1"/>
  <c r="J23" i="1"/>
  <c r="N59" i="1"/>
  <c r="N65" i="1" s="1"/>
  <c r="N54" i="1"/>
  <c r="O62" i="1"/>
  <c r="O81" i="1" s="1"/>
  <c r="O94" i="1" s="1"/>
  <c r="O53" i="1"/>
  <c r="O86" i="1" l="1"/>
  <c r="O96" i="1" s="1"/>
  <c r="P88" i="1"/>
  <c r="P95" i="1" s="1"/>
  <c r="P84" i="1"/>
  <c r="P86" i="1" s="1"/>
  <c r="P96" i="1" s="1"/>
  <c r="P62" i="1"/>
  <c r="P81" i="1" s="1"/>
  <c r="P94" i="1" s="1"/>
  <c r="P50" i="1"/>
  <c r="P56" i="1"/>
  <c r="P53" i="1"/>
  <c r="P59" i="1" s="1"/>
  <c r="P65" i="1" s="1"/>
  <c r="P133" i="1" s="1"/>
  <c r="P135" i="1" s="1"/>
  <c r="L93" i="1"/>
  <c r="L100" i="1" s="1"/>
  <c r="L108" i="1" s="1"/>
  <c r="L109" i="1" s="1"/>
  <c r="M106" i="1" s="1"/>
  <c r="L77" i="1"/>
  <c r="O59" i="1"/>
  <c r="O65" i="1" s="1"/>
  <c r="O54" i="1"/>
  <c r="P54" i="1" l="1"/>
  <c r="L114" i="1" l="1"/>
  <c r="M107" i="1"/>
  <c r="L115" i="1" l="1"/>
  <c r="M112" i="1" s="1"/>
  <c r="M113" i="1" s="1"/>
  <c r="L120" i="1"/>
  <c r="L121" i="1" l="1"/>
  <c r="L127" i="1"/>
  <c r="L128" i="1" l="1"/>
  <c r="M118" i="1"/>
  <c r="M125" i="1" l="1"/>
  <c r="M119" i="1"/>
  <c r="M126" i="1" l="1"/>
  <c r="M68" i="1" s="1"/>
  <c r="M70" i="1" s="1"/>
  <c r="M73" i="1"/>
  <c r="M76" i="1"/>
  <c r="M93" i="1" s="1"/>
  <c r="M100" i="1" s="1"/>
  <c r="M71" i="1"/>
  <c r="M77" i="1" l="1"/>
  <c r="M108" i="1" l="1"/>
  <c r="M114" i="1" s="1"/>
  <c r="M115" i="1" s="1"/>
  <c r="N112" i="1" s="1"/>
  <c r="M109" i="1" l="1"/>
  <c r="N106" i="1" s="1"/>
  <c r="N107" i="1" s="1"/>
  <c r="N113" i="1" l="1"/>
  <c r="M120" i="1"/>
  <c r="M121" i="1" l="1"/>
  <c r="M127" i="1"/>
  <c r="N118" i="1" l="1"/>
  <c r="M128" i="1"/>
  <c r="N125" i="1" l="1"/>
  <c r="N119" i="1"/>
  <c r="N126" i="1" s="1"/>
  <c r="N68" i="1" s="1"/>
  <c r="N70" i="1" s="1"/>
  <c r="N73" i="1" l="1"/>
  <c r="N76" i="1" s="1"/>
  <c r="N71" i="1"/>
  <c r="N93" i="1" l="1"/>
  <c r="N100" i="1" s="1"/>
  <c r="N77" i="1"/>
  <c r="N108" i="1" l="1"/>
  <c r="N109" i="1" s="1"/>
  <c r="N114" i="1"/>
  <c r="N115" i="1" s="1"/>
  <c r="O112" i="1" s="1"/>
  <c r="O113" i="1" s="1"/>
  <c r="N120" i="1"/>
  <c r="O106" i="1" l="1"/>
  <c r="O107" i="1" s="1"/>
  <c r="N121" i="1"/>
  <c r="N127" i="1"/>
  <c r="O118" i="1" l="1"/>
  <c r="N128" i="1"/>
  <c r="O125" i="1" l="1"/>
  <c r="O119" i="1"/>
  <c r="O126" i="1" s="1"/>
  <c r="O68" i="1" s="1"/>
  <c r="O70" i="1" s="1"/>
  <c r="O73" i="1" l="1"/>
  <c r="O76" i="1" s="1"/>
  <c r="O71" i="1"/>
  <c r="O93" i="1" l="1"/>
  <c r="O100" i="1" s="1"/>
  <c r="O77" i="1"/>
  <c r="O108" i="1" l="1"/>
  <c r="O109" i="1" s="1"/>
  <c r="O114" i="1"/>
  <c r="O115" i="1" s="1"/>
  <c r="P112" i="1" s="1"/>
  <c r="P113" i="1" s="1"/>
  <c r="O120" i="1"/>
  <c r="P106" i="1" l="1"/>
  <c r="P107" i="1" s="1"/>
  <c r="O121" i="1"/>
  <c r="P118" i="1" s="1"/>
  <c r="O127" i="1"/>
  <c r="P125" i="1" l="1"/>
  <c r="P119" i="1"/>
  <c r="P126" i="1" s="1"/>
  <c r="O128" i="1"/>
  <c r="P68" i="1" l="1"/>
  <c r="P70" i="1" s="1"/>
  <c r="P73" i="1" l="1"/>
  <c r="P76" i="1" s="1"/>
  <c r="P71" i="1"/>
  <c r="P77" i="1" l="1"/>
  <c r="P93" i="1"/>
  <c r="P100" i="1"/>
  <c r="P108" i="1" l="1"/>
  <c r="P109" i="1" l="1"/>
  <c r="P114" i="1"/>
  <c r="P115" i="1" l="1"/>
  <c r="P120" i="1"/>
  <c r="P121" i="1" l="1"/>
  <c r="P128" i="1" s="1"/>
  <c r="P136" i="1" s="1"/>
  <c r="P137" i="1" s="1"/>
  <c r="P141" i="1" s="1"/>
  <c r="P127" i="1"/>
  <c r="P142" i="1"/>
  <c r="P26" i="1" s="1"/>
  <c r="P25" i="1"/>
</calcChain>
</file>

<file path=xl/sharedStrings.xml><?xml version="1.0" encoding="utf-8"?>
<sst xmlns="http://schemas.openxmlformats.org/spreadsheetml/2006/main" count="190" uniqueCount="138">
  <si>
    <t>You are a private equity firm looking to potentially buyout an insurance company.</t>
  </si>
  <si>
    <t>In the last 12 months, the company has generate $2BN in sales, $900M in COGS, $500M in OpEx, $100M in D&amp;A, $200 in NWC, and $140M in CapEx.</t>
  </si>
  <si>
    <t>For simplicity, your firm assumes it can grow the company revenue at 10% for the next 5 years, assumes a 21% tax rate, and assumes all growth rates and margins will remain flat.</t>
  </si>
  <si>
    <t>Your firm also believes it can enter and exit at a 10.0x EBITDA multiple at the end of year 5. The company has existing net debt of $1BN</t>
  </si>
  <si>
    <t>Fees and expenses are estimated to amount to $100M, and there will be 3 tranches of debt: $200M from a revolver (7.5% interest), $2.5BN from a bank loan (9.5%), and $1.5BN from senior notes (12.5%)</t>
  </si>
  <si>
    <t>Calculate the firm's IRR.</t>
  </si>
  <si>
    <t>Because we want to buy a company, there a couple of things we want to know as a PE fund:</t>
  </si>
  <si>
    <t>- How much cash to invest today</t>
  </si>
  <si>
    <t>- How much money the company will generate while owned</t>
  </si>
  <si>
    <t>- How much we can sell the company for later</t>
  </si>
  <si>
    <t>- What annual return (IRR) it will earn</t>
  </si>
  <si>
    <t>Assumptions</t>
  </si>
  <si>
    <t>All values in $ millions</t>
  </si>
  <si>
    <t>Financials</t>
  </si>
  <si>
    <t>Entry</t>
  </si>
  <si>
    <t>Capital Structure</t>
  </si>
  <si>
    <t>Amount</t>
  </si>
  <si>
    <t>Interest</t>
  </si>
  <si>
    <t>LTM</t>
  </si>
  <si>
    <t>LTM EBITDA</t>
  </si>
  <si>
    <t>Revolver</t>
  </si>
  <si>
    <t>=  "Credit Card" for companies, withdraw fund and short term repayment (1 year) = FLEXIBLE CORPORATE LINE OF CREDIT</t>
  </si>
  <si>
    <t>Revenue</t>
  </si>
  <si>
    <t>EBITDA Multiple</t>
  </si>
  <si>
    <t>Bank Loan</t>
  </si>
  <si>
    <t>=  Pay off bank loans before senior notes, even if they have a lower IR , because banks often have a "pay us back first" clause (reason for lower IR)</t>
  </si>
  <si>
    <t>COGS</t>
  </si>
  <si>
    <t>Enterprse Value</t>
  </si>
  <si>
    <t>Senior Notes</t>
  </si>
  <si>
    <t>= bonds or debt issued by various parties (banks, investors) for funding. They sit at the top of a company's repayment hierarchy</t>
  </si>
  <si>
    <t>OpEx</t>
  </si>
  <si>
    <t>Existing Net Debt</t>
  </si>
  <si>
    <t>D&amp;A</t>
  </si>
  <si>
    <t>Equity Value</t>
  </si>
  <si>
    <t>NWC</t>
  </si>
  <si>
    <t>IRR (For Reference)</t>
  </si>
  <si>
    <t>CapEx</t>
  </si>
  <si>
    <t>Fees &amp; Expenses</t>
  </si>
  <si>
    <t>MOIC</t>
  </si>
  <si>
    <t>= MOIC value --&gt;  you get back $2.80 for every $1.00 you initially invested</t>
  </si>
  <si>
    <t>IRR</t>
  </si>
  <si>
    <t>= How profitable the investment has been, the expected annualized compound growth rate of an investment,</t>
  </si>
  <si>
    <t>Operating Assumptions</t>
  </si>
  <si>
    <t>Exit</t>
  </si>
  <si>
    <t xml:space="preserve"> assuming all profits are reinvested. It tells us the exact percentage yield a project or investment must generate to break even</t>
  </si>
  <si>
    <t>Revenue Growth</t>
  </si>
  <si>
    <t>Exit Multiple</t>
  </si>
  <si>
    <t>Tax Rate</t>
  </si>
  <si>
    <t>Sources &amp; Uses</t>
  </si>
  <si>
    <t>Sources</t>
  </si>
  <si>
    <t>Uses</t>
  </si>
  <si>
    <t>xEBITDA</t>
  </si>
  <si>
    <t>%Capital</t>
  </si>
  <si>
    <t xml:space="preserve">Debt Refinancing </t>
  </si>
  <si>
    <t>--&gt; xEBITDA = Amount / LTM EBITDA</t>
  </si>
  <si>
    <t xml:space="preserve">Equity Payment </t>
  </si>
  <si>
    <t>--&gt; % Capital = Amount / Total Sources or Uses</t>
  </si>
  <si>
    <t>Total</t>
  </si>
  <si>
    <t>Sponsor Equity</t>
  </si>
  <si>
    <t>= Total Sources - Total Debt</t>
  </si>
  <si>
    <t>Total Sources</t>
  </si>
  <si>
    <t xml:space="preserve">Total Uses </t>
  </si>
  <si>
    <t xml:space="preserve"> Total Uses = Total Sources</t>
  </si>
  <si>
    <t>Operating Model</t>
  </si>
  <si>
    <t xml:space="preserve">Revenue </t>
  </si>
  <si>
    <t>Revenue t = Revenue (t-1) *( 1 + Growth Rate)</t>
  </si>
  <si>
    <t>% growth</t>
  </si>
  <si>
    <t>= % sales year before * Revenue current</t>
  </si>
  <si>
    <t>% sales</t>
  </si>
  <si>
    <t>= COGS / Revenue</t>
  </si>
  <si>
    <t>Gross Profit</t>
  </si>
  <si>
    <t xml:space="preserve">= Revenue - COGS </t>
  </si>
  <si>
    <t>= Gross Profit / Revenue</t>
  </si>
  <si>
    <t>= % sales year before * Revenue current year</t>
  </si>
  <si>
    <t>= OpEx / Revenue</t>
  </si>
  <si>
    <t>EBIT</t>
  </si>
  <si>
    <t>= Profit - OpEx</t>
  </si>
  <si>
    <t>= EBIT / Revenue</t>
  </si>
  <si>
    <t>= D&amp;A current * % sales last year</t>
  </si>
  <si>
    <t>% of sales</t>
  </si>
  <si>
    <t>D&amp;A / Revenue</t>
  </si>
  <si>
    <t>EBITDA</t>
  </si>
  <si>
    <t>EBIT + D&amp;A</t>
  </si>
  <si>
    <t>= EBITDA / Revenue</t>
  </si>
  <si>
    <t>= based on total debt</t>
  </si>
  <si>
    <t>EBT</t>
  </si>
  <si>
    <t>=EBITDA - D&amp;A</t>
  </si>
  <si>
    <t>=EBT/Revenue</t>
  </si>
  <si>
    <t>Taxes</t>
  </si>
  <si>
    <t xml:space="preserve"> = EBT * % tax rate</t>
  </si>
  <si>
    <t>% tax rate</t>
  </si>
  <si>
    <t xml:space="preserve">Net Income </t>
  </si>
  <si>
    <t>= EBT - Taxes</t>
  </si>
  <si>
    <t>= Net Income / Revenue</t>
  </si>
  <si>
    <t>Cash Flow Items</t>
  </si>
  <si>
    <t>Net Working Capital</t>
  </si>
  <si>
    <t>= NWC / Revenue</t>
  </si>
  <si>
    <t>Change in Net Working Capital</t>
  </si>
  <si>
    <t xml:space="preserve">= Y2 NWC - Y1 NWC </t>
  </si>
  <si>
    <t>= % sales year before / Revenue</t>
  </si>
  <si>
    <t>Leveraged Free Cash Flow</t>
  </si>
  <si>
    <t>Net Income (debt already considered, interest already paid)</t>
  </si>
  <si>
    <t>Change in NWC</t>
  </si>
  <si>
    <t>Mandatory debt repayments</t>
  </si>
  <si>
    <t>/</t>
  </si>
  <si>
    <t xml:space="preserve">= Leveraged cash flow is the actual cash a business has leftover after paying all of its operational exp., taxes, and debt obligations (interest and principal). </t>
  </si>
  <si>
    <t xml:space="preserve"> It represents the true amount of money available to pay dividends, buy back stock, or reinvest in the company</t>
  </si>
  <si>
    <t>Debt Schedule</t>
  </si>
  <si>
    <t>Debt Waterfall</t>
  </si>
  <si>
    <t>Starts off with the Leveraged Cash flow (cash a firm can spend or use to pay back debt)</t>
  </si>
  <si>
    <t>The debt schedule tells you what has to payed back first (order of urgency)</t>
  </si>
  <si>
    <t>Beginning Balance</t>
  </si>
  <si>
    <t>= Beginning balance * Revolver interest</t>
  </si>
  <si>
    <t>Paydown</t>
  </si>
  <si>
    <t>= MIN (Beginning Balance, Leveraged Free Cahs Flow)</t>
  </si>
  <si>
    <t xml:space="preserve">   Ending Balance </t>
  </si>
  <si>
    <t>= Beginning Balance - Paydown</t>
  </si>
  <si>
    <t>Bank Debt</t>
  </si>
  <si>
    <t>= Beginning balance * Bank Debt interest</t>
  </si>
  <si>
    <t>= MIN (Beginning Balance, Leveraged Free Cahs Flow - Revolver Paydown)</t>
  </si>
  <si>
    <t>= Beginning balance * Senior Notes interest</t>
  </si>
  <si>
    <t>= MIN (Beginning Balance, Leveraged Free Cahs Flow - Revolver Paydown - Bank Debt Paydown)</t>
  </si>
  <si>
    <t>Total Debt</t>
  </si>
  <si>
    <t>Ending Balance</t>
  </si>
  <si>
    <t>LTM EBITDA at Exit</t>
  </si>
  <si>
    <t>= Exit multiple = Entry multiple</t>
  </si>
  <si>
    <t>Enterprise Value at Exit</t>
  </si>
  <si>
    <t xml:space="preserve">= Final selling price of company </t>
  </si>
  <si>
    <t>Net Debt</t>
  </si>
  <si>
    <t>Sponsor Equity Value</t>
  </si>
  <si>
    <t>= EV at Exit - Net Debt (what goes into the pockets of the PE firm)</t>
  </si>
  <si>
    <t>Sponsor Equity at Entry</t>
  </si>
  <si>
    <t>= Equity initally invested bt PE firm</t>
  </si>
  <si>
    <t>MOIC (Money over invested capital)</t>
  </si>
  <si>
    <t>= 2.8 extra money per 1$ invested = How much money is made at the end from the investment</t>
  </si>
  <si>
    <t>= IRR = (Exit Equity Value ÷ Initial Equity Investment)^(1 ÷ Number of Periods) – 1</t>
  </si>
  <si>
    <t>= Compunded annulaised rate of return (how fast the investment is profitting) per year = ACCUMULATED</t>
  </si>
  <si>
    <t>= Compunded because the earnings are continuously reinvested and generate their own returns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</si>
</sst>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x"/>
    <numFmt numFmtId="165" formatCode="0,000"/>
    <numFmt numFmtId="166" formatCode="0.0%"/>
    <numFmt numFmtId="167" formatCode="&quot;Year &quot;0"/>
  </numFmts>
  <fonts count="20">
    <font>
      <sz val="11"/>
      <color theme="1"/>
      <name val="Calibri"/>
      <family val="2"/>
      <scheme val="minor"/>
    </font>
    <font>
      <sz val="11"/>
      <color rgb="FFFF0000"/>
      <name val="Calibri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0000"/>
      <name val="Calibri"/>
      <scheme val="minor"/>
    </font>
    <font>
      <sz val="11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1" fillId="0" borderId="0" xfId="0" quotePrefix="1" applyFont="1"/>
    <xf numFmtId="0" fontId="0" fillId="2" borderId="0" xfId="0" applyFill="1"/>
    <xf numFmtId="0" fontId="3" fillId="2" borderId="0" xfId="0" applyFont="1" applyFill="1"/>
    <xf numFmtId="0" fontId="4" fillId="3" borderId="0" xfId="0" applyFont="1" applyFill="1"/>
    <xf numFmtId="0" fontId="0" fillId="3" borderId="0" xfId="0" applyFill="1"/>
    <xf numFmtId="0" fontId="4" fillId="3" borderId="0" xfId="0" applyFont="1" applyFill="1" applyAlignment="1">
      <alignment horizontal="right"/>
    </xf>
    <xf numFmtId="0" fontId="5" fillId="0" borderId="0" xfId="0" applyFont="1"/>
    <xf numFmtId="0" fontId="7" fillId="0" borderId="0" xfId="0" applyFont="1"/>
    <xf numFmtId="0" fontId="8" fillId="4" borderId="1" xfId="0" applyFont="1" applyFill="1" applyBorder="1"/>
    <xf numFmtId="3" fontId="8" fillId="4" borderId="1" xfId="0" applyNumberFormat="1" applyFont="1" applyFill="1" applyBorder="1"/>
    <xf numFmtId="0" fontId="9" fillId="0" borderId="0" xfId="0" applyFont="1"/>
    <xf numFmtId="0" fontId="0" fillId="0" borderId="2" xfId="0" applyBorder="1"/>
    <xf numFmtId="0" fontId="6" fillId="0" borderId="2" xfId="0" applyFont="1" applyBorder="1"/>
    <xf numFmtId="164" fontId="10" fillId="0" borderId="0" xfId="0" applyNumberFormat="1" applyFont="1"/>
    <xf numFmtId="164" fontId="0" fillId="0" borderId="0" xfId="0" applyNumberFormat="1"/>
    <xf numFmtId="164" fontId="0" fillId="3" borderId="0" xfId="0" applyNumberFormat="1" applyFill="1"/>
    <xf numFmtId="1" fontId="0" fillId="0" borderId="0" xfId="0" applyNumberFormat="1"/>
    <xf numFmtId="165" fontId="0" fillId="0" borderId="2" xfId="0" applyNumberFormat="1" applyBorder="1"/>
    <xf numFmtId="164" fontId="8" fillId="4" borderId="0" xfId="0" applyNumberFormat="1" applyFont="1" applyFill="1"/>
    <xf numFmtId="37" fontId="8" fillId="4" borderId="0" xfId="0" applyNumberFormat="1" applyFont="1" applyFill="1"/>
    <xf numFmtId="1" fontId="8" fillId="4" borderId="0" xfId="0" applyNumberFormat="1" applyFont="1" applyFill="1"/>
    <xf numFmtId="0" fontId="0" fillId="0" borderId="0" xfId="0" quotePrefix="1"/>
    <xf numFmtId="37" fontId="8" fillId="4" borderId="1" xfId="0" applyNumberFormat="1" applyFont="1" applyFill="1" applyBorder="1"/>
    <xf numFmtId="166" fontId="8" fillId="4" borderId="1" xfId="0" applyNumberFormat="1" applyFont="1" applyFill="1" applyBorder="1"/>
    <xf numFmtId="167" fontId="4" fillId="3" borderId="0" xfId="0" applyNumberFormat="1" applyFont="1" applyFill="1" applyAlignment="1">
      <alignment horizontal="right"/>
    </xf>
    <xf numFmtId="3" fontId="0" fillId="0" borderId="0" xfId="0" applyNumberFormat="1"/>
    <xf numFmtId="3" fontId="10" fillId="0" borderId="0" xfId="0" applyNumberFormat="1" applyFont="1"/>
    <xf numFmtId="166" fontId="10" fillId="0" borderId="0" xfId="0" applyNumberFormat="1" applyFont="1"/>
    <xf numFmtId="166" fontId="13" fillId="0" borderId="0" xfId="0" applyNumberFormat="1" applyFont="1"/>
    <xf numFmtId="166" fontId="14" fillId="0" borderId="0" xfId="0" applyNumberFormat="1" applyFont="1"/>
    <xf numFmtId="3" fontId="11" fillId="0" borderId="0" xfId="0" applyNumberFormat="1" applyFont="1"/>
    <xf numFmtId="3" fontId="6" fillId="0" borderId="2" xfId="0" applyNumberFormat="1" applyFont="1" applyBorder="1"/>
    <xf numFmtId="166" fontId="0" fillId="0" borderId="0" xfId="0" applyNumberFormat="1"/>
    <xf numFmtId="3" fontId="10" fillId="0" borderId="3" xfId="0" applyNumberFormat="1" applyFont="1" applyBorder="1"/>
    <xf numFmtId="0" fontId="0" fillId="0" borderId="3" xfId="0" applyBorder="1"/>
    <xf numFmtId="0" fontId="10" fillId="0" borderId="3" xfId="0" applyFont="1" applyBorder="1"/>
    <xf numFmtId="166" fontId="12" fillId="0" borderId="3" xfId="0" applyNumberFormat="1" applyFont="1" applyBorder="1"/>
    <xf numFmtId="166" fontId="14" fillId="0" borderId="3" xfId="0" applyNumberFormat="1" applyFont="1" applyBorder="1"/>
    <xf numFmtId="3" fontId="0" fillId="0" borderId="3" xfId="0" applyNumberFormat="1" applyBorder="1"/>
    <xf numFmtId="166" fontId="0" fillId="0" borderId="3" xfId="0" applyNumberFormat="1" applyBorder="1"/>
    <xf numFmtId="3" fontId="0" fillId="0" borderId="2" xfId="0" applyNumberFormat="1" applyBorder="1"/>
    <xf numFmtId="164" fontId="6" fillId="0" borderId="2" xfId="0" applyNumberFormat="1" applyFont="1" applyBorder="1"/>
    <xf numFmtId="0" fontId="6" fillId="0" borderId="0" xfId="0" applyFont="1"/>
    <xf numFmtId="3" fontId="6" fillId="0" borderId="0" xfId="0" applyNumberFormat="1" applyFont="1"/>
    <xf numFmtId="164" fontId="6" fillId="0" borderId="0" xfId="0" applyNumberFormat="1" applyFont="1"/>
    <xf numFmtId="0" fontId="6" fillId="5" borderId="4" xfId="0" applyFont="1" applyFill="1" applyBorder="1"/>
    <xf numFmtId="0" fontId="6" fillId="5" borderId="5" xfId="0" applyFont="1" applyFill="1" applyBorder="1"/>
    <xf numFmtId="3" fontId="6" fillId="5" borderId="5" xfId="0" applyNumberFormat="1" applyFont="1" applyFill="1" applyBorder="1"/>
    <xf numFmtId="164" fontId="6" fillId="5" borderId="5" xfId="0" applyNumberFormat="1" applyFont="1" applyFill="1" applyBorder="1"/>
    <xf numFmtId="166" fontId="6" fillId="5" borderId="6" xfId="0" applyNumberFormat="1" applyFont="1" applyFill="1" applyBorder="1"/>
    <xf numFmtId="166" fontId="6" fillId="0" borderId="2" xfId="0" applyNumberFormat="1" applyFont="1" applyBorder="1"/>
    <xf numFmtId="0" fontId="16" fillId="5" borderId="4" xfId="0" applyFont="1" applyFill="1" applyBorder="1"/>
    <xf numFmtId="0" fontId="0" fillId="0" borderId="0" xfId="0" applyAlignment="1">
      <alignment horizontal="center"/>
    </xf>
    <xf numFmtId="167" fontId="4" fillId="3" borderId="7" xfId="0" applyNumberFormat="1" applyFont="1" applyFill="1" applyBorder="1" applyAlignment="1">
      <alignment horizontal="right"/>
    </xf>
    <xf numFmtId="167" fontId="4" fillId="3" borderId="3" xfId="0" applyNumberFormat="1" applyFont="1" applyFill="1" applyBorder="1" applyAlignment="1">
      <alignment horizontal="right"/>
    </xf>
    <xf numFmtId="166" fontId="10" fillId="0" borderId="3" xfId="0" applyNumberFormat="1" applyFont="1" applyBorder="1"/>
    <xf numFmtId="9" fontId="0" fillId="0" borderId="3" xfId="0" applyNumberFormat="1" applyBorder="1"/>
    <xf numFmtId="9" fontId="10" fillId="0" borderId="0" xfId="0" applyNumberFormat="1" applyFont="1"/>
    <xf numFmtId="9" fontId="0" fillId="0" borderId="0" xfId="0" applyNumberFormat="1"/>
    <xf numFmtId="0" fontId="10" fillId="0" borderId="0" xfId="0" applyFont="1"/>
    <xf numFmtId="1" fontId="10" fillId="0" borderId="0" xfId="0" applyNumberFormat="1" applyFont="1"/>
    <xf numFmtId="0" fontId="0" fillId="0" borderId="0" xfId="0" quotePrefix="1" applyAlignment="1">
      <alignment horizontal="right"/>
    </xf>
    <xf numFmtId="0" fontId="6" fillId="5" borderId="6" xfId="0" applyFont="1" applyFill="1" applyBorder="1"/>
    <xf numFmtId="3" fontId="6" fillId="5" borderId="6" xfId="0" applyNumberFormat="1" applyFont="1" applyFill="1" applyBorder="1"/>
    <xf numFmtId="0" fontId="0" fillId="2" borderId="7" xfId="0" applyFill="1" applyBorder="1"/>
    <xf numFmtId="0" fontId="0" fillId="0" borderId="7" xfId="0" applyBorder="1"/>
    <xf numFmtId="0" fontId="0" fillId="0" borderId="0" xfId="0" applyAlignment="1">
      <alignment horizontal="left" indent="1"/>
    </xf>
    <xf numFmtId="3" fontId="17" fillId="0" borderId="9" xfId="0" applyNumberFormat="1" applyFont="1" applyBorder="1"/>
    <xf numFmtId="0" fontId="6" fillId="0" borderId="2" xfId="0" applyFont="1" applyBorder="1" applyAlignment="1">
      <alignment horizontal="left" indent="1"/>
    </xf>
    <xf numFmtId="3" fontId="6" fillId="0" borderId="9" xfId="0" applyNumberFormat="1" applyFont="1" applyBorder="1"/>
    <xf numFmtId="3" fontId="0" fillId="4" borderId="0" xfId="0" applyNumberFormat="1" applyFill="1"/>
    <xf numFmtId="0" fontId="0" fillId="0" borderId="8" xfId="0" applyBorder="1"/>
    <xf numFmtId="0" fontId="6" fillId="6" borderId="10" xfId="0" applyFont="1" applyFill="1" applyBorder="1"/>
    <xf numFmtId="0" fontId="6" fillId="6" borderId="11" xfId="0" applyFont="1" applyFill="1" applyBorder="1"/>
    <xf numFmtId="0" fontId="6" fillId="6" borderId="12" xfId="0" applyFont="1" applyFill="1" applyBorder="1"/>
    <xf numFmtId="37" fontId="10" fillId="0" borderId="0" xfId="0" applyNumberFormat="1" applyFont="1"/>
    <xf numFmtId="164" fontId="10" fillId="0" borderId="8" xfId="0" applyNumberFormat="1" applyFont="1" applyBorder="1"/>
    <xf numFmtId="37" fontId="0" fillId="0" borderId="0" xfId="0" applyNumberFormat="1"/>
    <xf numFmtId="0" fontId="6" fillId="6" borderId="13" xfId="0" applyFont="1" applyFill="1" applyBorder="1"/>
    <xf numFmtId="37" fontId="6" fillId="6" borderId="14" xfId="0" applyNumberFormat="1" applyFont="1" applyFill="1" applyBorder="1"/>
    <xf numFmtId="0" fontId="6" fillId="6" borderId="15" xfId="0" applyFont="1" applyFill="1" applyBorder="1"/>
    <xf numFmtId="164" fontId="18" fillId="6" borderId="16" xfId="0" applyNumberFormat="1" applyFont="1" applyFill="1" applyBorder="1"/>
    <xf numFmtId="0" fontId="6" fillId="6" borderId="8" xfId="0" applyFont="1" applyFill="1" applyBorder="1"/>
    <xf numFmtId="166" fontId="19" fillId="6" borderId="17" xfId="1" applyNumberFormat="1" applyFont="1" applyFill="1" applyBorder="1"/>
    <xf numFmtId="166" fontId="10" fillId="0" borderId="0" xfId="1" applyNumberFormat="1" applyFont="1"/>
    <xf numFmtId="0" fontId="6" fillId="0" borderId="0" xfId="0" quotePrefix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4"/>
  <sheetViews>
    <sheetView tabSelected="1" workbookViewId="0">
      <selection activeCell="K11" sqref="K11"/>
    </sheetView>
  </sheetViews>
  <sheetFormatPr defaultRowHeight="15"/>
  <cols>
    <col min="5" max="5" width="9.28515625" bestFit="1" customWidth="1"/>
    <col min="12" max="14" width="9.85546875" bestFit="1" customWidth="1"/>
    <col min="15" max="15" width="11.42578125" bestFit="1" customWidth="1"/>
    <col min="16" max="16" width="10.85546875" bestFit="1" customWidth="1"/>
  </cols>
  <sheetData>
    <row r="1" spans="2:16">
      <c r="B1" t="s">
        <v>0</v>
      </c>
    </row>
    <row r="2" spans="2:16">
      <c r="B2" t="s">
        <v>1</v>
      </c>
    </row>
    <row r="3" spans="2:16">
      <c r="B3" t="s">
        <v>2</v>
      </c>
    </row>
    <row r="4" spans="2:16">
      <c r="B4" t="s">
        <v>3</v>
      </c>
    </row>
    <row r="5" spans="2:16">
      <c r="B5" t="s">
        <v>4</v>
      </c>
    </row>
    <row r="6" spans="2:16">
      <c r="B6" t="s">
        <v>5</v>
      </c>
    </row>
    <row r="9" spans="2:16">
      <c r="B9" s="1" t="s">
        <v>6</v>
      </c>
    </row>
    <row r="10" spans="2:16">
      <c r="B10" s="2" t="s">
        <v>7</v>
      </c>
    </row>
    <row r="11" spans="2:16">
      <c r="B11" s="3" t="s">
        <v>8</v>
      </c>
    </row>
    <row r="12" spans="2:16">
      <c r="B12" s="4" t="s">
        <v>9</v>
      </c>
    </row>
    <row r="13" spans="2:16">
      <c r="B13" s="4" t="s">
        <v>10</v>
      </c>
    </row>
    <row r="16" spans="2:16" ht="15.75">
      <c r="B16" s="6" t="s">
        <v>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2:18">
      <c r="B17" t="s">
        <v>12</v>
      </c>
    </row>
    <row r="18" spans="2:18">
      <c r="B18" s="7" t="s">
        <v>13</v>
      </c>
      <c r="C18" s="8"/>
      <c r="D18" s="8"/>
      <c r="E18" s="8"/>
      <c r="G18" s="7" t="s">
        <v>14</v>
      </c>
      <c r="H18" s="8"/>
      <c r="I18" s="8"/>
      <c r="J18" s="8"/>
      <c r="L18" s="7" t="s">
        <v>15</v>
      </c>
      <c r="M18" s="8"/>
      <c r="N18" s="8"/>
      <c r="O18" s="9" t="s">
        <v>16</v>
      </c>
      <c r="P18" s="9" t="s">
        <v>17</v>
      </c>
    </row>
    <row r="19" spans="2:18">
      <c r="B19" s="10" t="s">
        <v>18</v>
      </c>
      <c r="G19" s="14" t="s">
        <v>19</v>
      </c>
      <c r="J19" s="20">
        <f>K65</f>
        <v>700</v>
      </c>
      <c r="L19" t="s">
        <v>20</v>
      </c>
      <c r="O19" s="13">
        <v>200</v>
      </c>
      <c r="P19" s="27">
        <v>7.4999999999999997E-2</v>
      </c>
      <c r="R19" s="25" t="s">
        <v>21</v>
      </c>
    </row>
    <row r="20" spans="2:18">
      <c r="B20" t="s">
        <v>22</v>
      </c>
      <c r="E20" s="13">
        <v>2000</v>
      </c>
      <c r="G20" t="s">
        <v>23</v>
      </c>
      <c r="J20" s="22">
        <v>10</v>
      </c>
      <c r="L20" t="s">
        <v>24</v>
      </c>
      <c r="O20" s="26">
        <v>2500</v>
      </c>
      <c r="P20" s="27">
        <v>9.5000000000000001E-2</v>
      </c>
      <c r="R20" s="25" t="s">
        <v>25</v>
      </c>
    </row>
    <row r="21" spans="2:18">
      <c r="B21" t="s">
        <v>26</v>
      </c>
      <c r="E21" s="12">
        <v>900</v>
      </c>
      <c r="G21" s="16" t="s">
        <v>27</v>
      </c>
      <c r="H21" s="15"/>
      <c r="I21" s="15"/>
      <c r="J21" s="35">
        <f>J19*J20</f>
        <v>7000</v>
      </c>
      <c r="L21" t="s">
        <v>28</v>
      </c>
      <c r="O21" s="26">
        <v>1500</v>
      </c>
      <c r="P21" s="27">
        <v>0.125</v>
      </c>
      <c r="R21" s="25" t="s">
        <v>29</v>
      </c>
    </row>
    <row r="22" spans="2:18">
      <c r="B22" t="s">
        <v>30</v>
      </c>
      <c r="E22" s="12">
        <v>500</v>
      </c>
      <c r="G22" t="s">
        <v>31</v>
      </c>
      <c r="J22" s="23">
        <v>1000</v>
      </c>
    </row>
    <row r="23" spans="2:18">
      <c r="B23" t="s">
        <v>32</v>
      </c>
      <c r="E23" s="12">
        <v>100</v>
      </c>
      <c r="G23" s="16" t="s">
        <v>33</v>
      </c>
      <c r="H23" s="15"/>
      <c r="I23" s="15"/>
      <c r="J23" s="21">
        <f>J21-J22</f>
        <v>6000</v>
      </c>
    </row>
    <row r="24" spans="2:18">
      <c r="B24" t="s">
        <v>34</v>
      </c>
      <c r="E24" s="12">
        <v>200</v>
      </c>
      <c r="J24" s="18"/>
      <c r="L24" s="7" t="s">
        <v>35</v>
      </c>
      <c r="M24" s="8"/>
      <c r="N24" s="8"/>
      <c r="O24" s="9"/>
      <c r="P24" s="9"/>
    </row>
    <row r="25" spans="2:18">
      <c r="B25" t="s">
        <v>36</v>
      </c>
      <c r="E25" s="12">
        <v>140</v>
      </c>
      <c r="G25" t="s">
        <v>37</v>
      </c>
      <c r="J25" s="24">
        <v>100</v>
      </c>
      <c r="L25" t="s">
        <v>38</v>
      </c>
      <c r="P25" s="17">
        <f>P141</f>
        <v>2.8420395749121585</v>
      </c>
      <c r="R25" s="25" t="s">
        <v>39</v>
      </c>
    </row>
    <row r="26" spans="2:18">
      <c r="J26" s="18"/>
      <c r="L26" t="s">
        <v>40</v>
      </c>
      <c r="P26" s="88">
        <f>P142</f>
        <v>0.23232717123052216</v>
      </c>
      <c r="R26" s="25" t="s">
        <v>41</v>
      </c>
    </row>
    <row r="27" spans="2:18">
      <c r="B27" s="11" t="s">
        <v>42</v>
      </c>
      <c r="G27" s="7" t="s">
        <v>43</v>
      </c>
      <c r="H27" s="8"/>
      <c r="I27" s="8"/>
      <c r="J27" s="19"/>
      <c r="R27" t="s">
        <v>44</v>
      </c>
    </row>
    <row r="28" spans="2:18">
      <c r="B28" t="s">
        <v>45</v>
      </c>
      <c r="E28" s="27">
        <v>0.1</v>
      </c>
      <c r="G28" t="s">
        <v>46</v>
      </c>
      <c r="J28" s="17">
        <f>J20</f>
        <v>10</v>
      </c>
    </row>
    <row r="29" spans="2:18">
      <c r="B29" t="s">
        <v>47</v>
      </c>
      <c r="E29" s="27">
        <v>0.21</v>
      </c>
    </row>
    <row r="31" spans="2:18" ht="15.75">
      <c r="B31" s="6" t="s">
        <v>48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3" spans="2:18">
      <c r="B33" s="7" t="s">
        <v>49</v>
      </c>
      <c r="C33" s="8"/>
      <c r="D33" s="8"/>
      <c r="E33" s="8"/>
      <c r="F33" s="8"/>
      <c r="G33" s="8"/>
      <c r="K33" s="7" t="s">
        <v>50</v>
      </c>
      <c r="L33" s="8"/>
      <c r="M33" s="8"/>
      <c r="N33" s="8"/>
      <c r="O33" s="8"/>
      <c r="P33" s="8"/>
    </row>
    <row r="34" spans="2:18">
      <c r="D34" s="11" t="s">
        <v>16</v>
      </c>
      <c r="E34" s="11" t="s">
        <v>51</v>
      </c>
      <c r="F34" s="11" t="s">
        <v>52</v>
      </c>
      <c r="N34" s="11" t="s">
        <v>16</v>
      </c>
      <c r="O34" s="11" t="s">
        <v>51</v>
      </c>
      <c r="P34" s="11" t="s">
        <v>52</v>
      </c>
    </row>
    <row r="35" spans="2:18">
      <c r="B35" t="s">
        <v>20</v>
      </c>
      <c r="D35" s="63">
        <v>200</v>
      </c>
      <c r="E35" s="18">
        <f>D35/J19</f>
        <v>0.2857142857142857</v>
      </c>
      <c r="F35" s="36">
        <f>D35/D42</f>
        <v>2.8169014084507043E-2</v>
      </c>
      <c r="K35" t="s">
        <v>53</v>
      </c>
      <c r="N35" s="30">
        <v>1000</v>
      </c>
      <c r="O35" s="18">
        <f>N35/J19</f>
        <v>1.4285714285714286</v>
      </c>
      <c r="P35" s="36">
        <f>N35/N42</f>
        <v>0.14084507042253522</v>
      </c>
      <c r="R35" s="25" t="s">
        <v>54</v>
      </c>
    </row>
    <row r="36" spans="2:18">
      <c r="B36" t="s">
        <v>24</v>
      </c>
      <c r="D36" s="30">
        <v>2500</v>
      </c>
      <c r="E36" s="18">
        <f>D36/J19</f>
        <v>3.5714285714285716</v>
      </c>
      <c r="F36" s="36">
        <f>D36/D42</f>
        <v>0.352112676056338</v>
      </c>
      <c r="K36" t="s">
        <v>55</v>
      </c>
      <c r="N36" s="30">
        <v>6000</v>
      </c>
      <c r="O36" s="18">
        <f>N36/J19</f>
        <v>8.5714285714285712</v>
      </c>
      <c r="P36" s="36">
        <f>N36/N42</f>
        <v>0.84507042253521125</v>
      </c>
      <c r="R36" s="25" t="s">
        <v>56</v>
      </c>
    </row>
    <row r="37" spans="2:18">
      <c r="B37" t="s">
        <v>28</v>
      </c>
      <c r="D37" s="30">
        <v>1500</v>
      </c>
      <c r="E37" s="18">
        <f>D37/J19</f>
        <v>2.1428571428571428</v>
      </c>
      <c r="F37" s="36">
        <f>D37/D42</f>
        <v>0.21126760563380281</v>
      </c>
      <c r="N37" s="30"/>
      <c r="O37" s="18"/>
      <c r="P37" s="36"/>
    </row>
    <row r="38" spans="2:18">
      <c r="B38" s="16" t="s">
        <v>57</v>
      </c>
      <c r="C38" s="16"/>
      <c r="D38" s="35">
        <f>SUM(D35:D37)</f>
        <v>4200</v>
      </c>
      <c r="E38" s="45">
        <f>SUM(E35:E37)</f>
        <v>6</v>
      </c>
      <c r="F38" s="54">
        <f>SUM(F35:F37)</f>
        <v>0.59154929577464788</v>
      </c>
      <c r="K38" t="s">
        <v>37</v>
      </c>
      <c r="N38" s="30">
        <v>100</v>
      </c>
      <c r="O38" s="18">
        <f>N38/J19</f>
        <v>0.14285714285714285</v>
      </c>
      <c r="P38" s="36">
        <f>N38/N42</f>
        <v>1.4084507042253521E-2</v>
      </c>
    </row>
    <row r="39" spans="2:18">
      <c r="B39" s="46"/>
      <c r="C39" s="46"/>
      <c r="D39" s="47"/>
      <c r="E39" s="48"/>
      <c r="F39" s="46"/>
      <c r="N39" s="63"/>
    </row>
    <row r="40" spans="2:18">
      <c r="B40" s="14" t="s">
        <v>58</v>
      </c>
      <c r="C40" s="46"/>
      <c r="D40" s="29">
        <f>D42-D38</f>
        <v>2900</v>
      </c>
      <c r="E40" s="18">
        <f>E42-E38</f>
        <v>4.1428571428571423</v>
      </c>
      <c r="F40" s="36">
        <f>F42-F38</f>
        <v>0.40845070422535212</v>
      </c>
      <c r="G40" s="25" t="s">
        <v>59</v>
      </c>
    </row>
    <row r="41" spans="2:18">
      <c r="B41" s="46"/>
      <c r="C41" s="46"/>
      <c r="D41" s="29"/>
      <c r="E41" s="18"/>
    </row>
    <row r="42" spans="2:18">
      <c r="B42" s="55" t="s">
        <v>60</v>
      </c>
      <c r="C42" s="50"/>
      <c r="D42" s="51">
        <f>N42</f>
        <v>7100</v>
      </c>
      <c r="E42" s="52">
        <f>O42</f>
        <v>10.142857142857142</v>
      </c>
      <c r="F42" s="53">
        <f>P42</f>
        <v>1</v>
      </c>
      <c r="K42" s="49" t="s">
        <v>61</v>
      </c>
      <c r="L42" s="50"/>
      <c r="M42" s="50"/>
      <c r="N42" s="51">
        <f>SUM(N35:N38)</f>
        <v>7100</v>
      </c>
      <c r="O42" s="52">
        <f>SUM(O35:O38)</f>
        <v>10.142857142857142</v>
      </c>
      <c r="P42" s="53">
        <f>SUM(P35:P38)</f>
        <v>1</v>
      </c>
      <c r="Q42" s="25" t="s">
        <v>62</v>
      </c>
    </row>
    <row r="43" spans="2:18">
      <c r="Q43" s="25"/>
    </row>
    <row r="44" spans="2:18" ht="15.75">
      <c r="B44" s="6" t="s">
        <v>13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25"/>
    </row>
    <row r="45" spans="2:18">
      <c r="Q45" s="25"/>
    </row>
    <row r="46" spans="2:18">
      <c r="B46" s="7" t="s">
        <v>63</v>
      </c>
      <c r="C46" s="8"/>
      <c r="D46" s="8"/>
      <c r="E46" s="8"/>
      <c r="F46" s="8"/>
      <c r="G46" s="8"/>
      <c r="H46" s="8"/>
      <c r="I46" s="8"/>
      <c r="J46" s="8"/>
      <c r="K46" s="28">
        <v>0</v>
      </c>
      <c r="L46" s="28">
        <f>K46+1</f>
        <v>1</v>
      </c>
      <c r="M46" s="28">
        <f t="shared" ref="M46:P46" si="0">L46+1</f>
        <v>2</v>
      </c>
      <c r="N46" s="28">
        <f t="shared" si="0"/>
        <v>3</v>
      </c>
      <c r="O46" s="28">
        <f t="shared" si="0"/>
        <v>4</v>
      </c>
      <c r="P46" s="28">
        <f t="shared" si="0"/>
        <v>5</v>
      </c>
      <c r="Q46" s="25"/>
    </row>
    <row r="47" spans="2:18">
      <c r="B47" t="s">
        <v>64</v>
      </c>
      <c r="K47" s="37">
        <f>E20</f>
        <v>2000</v>
      </c>
      <c r="L47" s="29">
        <f>K47*(1+L48)</f>
        <v>2200</v>
      </c>
      <c r="M47" s="29">
        <f t="shared" ref="M47:O47" si="1">L47*(1+M48)</f>
        <v>2420</v>
      </c>
      <c r="N47" s="29">
        <f t="shared" si="1"/>
        <v>2662</v>
      </c>
      <c r="O47" s="29">
        <f t="shared" si="1"/>
        <v>2928.2000000000003</v>
      </c>
      <c r="P47" s="29">
        <f>O47*(1+P48)</f>
        <v>3221.0200000000004</v>
      </c>
      <c r="Q47" s="25" t="s">
        <v>65</v>
      </c>
    </row>
    <row r="48" spans="2:18">
      <c r="B48" t="s">
        <v>66</v>
      </c>
      <c r="K48" s="38"/>
      <c r="L48" s="31">
        <f>$E28</f>
        <v>0.1</v>
      </c>
      <c r="M48" s="31">
        <f>$E$28</f>
        <v>0.1</v>
      </c>
      <c r="N48" s="31">
        <f t="shared" ref="M48:P48" si="2">$E$28</f>
        <v>0.1</v>
      </c>
      <c r="O48" s="31">
        <f t="shared" si="2"/>
        <v>0.1</v>
      </c>
      <c r="P48" s="31">
        <f>$E$28</f>
        <v>0.1</v>
      </c>
    </row>
    <row r="49" spans="2:17">
      <c r="K49" s="38"/>
    </row>
    <row r="50" spans="2:17">
      <c r="B50" t="s">
        <v>26</v>
      </c>
      <c r="K50" s="39">
        <f>E21</f>
        <v>900</v>
      </c>
      <c r="L50" s="29">
        <f>K51*L47</f>
        <v>990</v>
      </c>
      <c r="M50" s="29">
        <f t="shared" ref="M50:N50" si="3">L51*M47</f>
        <v>1089</v>
      </c>
      <c r="N50" s="29">
        <f t="shared" si="3"/>
        <v>1197.9000000000001</v>
      </c>
      <c r="O50" s="29">
        <f>N51*O47</f>
        <v>1317.69</v>
      </c>
      <c r="P50" s="29">
        <f>O51*P47</f>
        <v>1449.4590000000003</v>
      </c>
      <c r="Q50" s="25" t="s">
        <v>67</v>
      </c>
    </row>
    <row r="51" spans="2:17">
      <c r="B51" t="s">
        <v>68</v>
      </c>
      <c r="K51" s="40">
        <f>$K50/$K47</f>
        <v>0.45</v>
      </c>
      <c r="L51" s="32">
        <f t="shared" ref="L51:P51" si="4">$K50/$K47</f>
        <v>0.45</v>
      </c>
      <c r="M51" s="32">
        <f t="shared" si="4"/>
        <v>0.45</v>
      </c>
      <c r="N51" s="32">
        <f t="shared" si="4"/>
        <v>0.45</v>
      </c>
      <c r="O51" s="32">
        <f t="shared" si="4"/>
        <v>0.45</v>
      </c>
      <c r="P51" s="32">
        <f>$K50/$K47</f>
        <v>0.45</v>
      </c>
      <c r="Q51" s="25" t="s">
        <v>69</v>
      </c>
    </row>
    <row r="52" spans="2:17">
      <c r="K52" s="38"/>
    </row>
    <row r="53" spans="2:17">
      <c r="B53" t="s">
        <v>70</v>
      </c>
      <c r="K53" s="37">
        <f xml:space="preserve"> K47 - K50</f>
        <v>1100</v>
      </c>
      <c r="L53" s="29">
        <f xml:space="preserve"> L47 - L50</f>
        <v>1210</v>
      </c>
      <c r="M53" s="29">
        <f xml:space="preserve"> M47 - M50</f>
        <v>1331</v>
      </c>
      <c r="N53" s="29">
        <f t="shared" ref="N53:O53" si="5" xml:space="preserve"> N47 - N50</f>
        <v>1464.1</v>
      </c>
      <c r="O53" s="29">
        <f t="shared" si="5"/>
        <v>1610.5100000000002</v>
      </c>
      <c r="P53" s="29">
        <f xml:space="preserve"> P47 - P50</f>
        <v>1771.5610000000001</v>
      </c>
      <c r="Q53" s="25" t="s">
        <v>71</v>
      </c>
    </row>
    <row r="54" spans="2:17">
      <c r="B54" t="s">
        <v>68</v>
      </c>
      <c r="K54" s="40">
        <f>K53/K47</f>
        <v>0.55000000000000004</v>
      </c>
      <c r="L54" s="32">
        <f t="shared" ref="L54:O54" si="6">L53/L47</f>
        <v>0.55000000000000004</v>
      </c>
      <c r="M54" s="32">
        <f t="shared" si="6"/>
        <v>0.55000000000000004</v>
      </c>
      <c r="N54" s="32">
        <f t="shared" si="6"/>
        <v>0.54999999999999993</v>
      </c>
      <c r="O54" s="32">
        <f t="shared" si="6"/>
        <v>0.55000000000000004</v>
      </c>
      <c r="P54" s="32">
        <f>P53/P47</f>
        <v>0.54999999999999993</v>
      </c>
      <c r="Q54" s="25" t="s">
        <v>72</v>
      </c>
    </row>
    <row r="55" spans="2:17">
      <c r="K55" s="38"/>
    </row>
    <row r="56" spans="2:17">
      <c r="B56" t="s">
        <v>30</v>
      </c>
      <c r="K56" s="37">
        <f>E22</f>
        <v>500</v>
      </c>
      <c r="L56" s="29">
        <f>K57*L47</f>
        <v>550</v>
      </c>
      <c r="M56" s="29">
        <f t="shared" ref="M56:N56" si="7">L57*M47</f>
        <v>605</v>
      </c>
      <c r="N56" s="29">
        <f t="shared" si="7"/>
        <v>665.5</v>
      </c>
      <c r="O56" s="29">
        <f>N57*O47</f>
        <v>732.05000000000007</v>
      </c>
      <c r="P56" s="29">
        <f>O57*P47</f>
        <v>805.25500000000011</v>
      </c>
      <c r="Q56" s="25" t="s">
        <v>73</v>
      </c>
    </row>
    <row r="57" spans="2:17">
      <c r="B57" t="s">
        <v>68</v>
      </c>
      <c r="K57" s="41">
        <f>$K56/$K47</f>
        <v>0.25</v>
      </c>
      <c r="L57" s="32">
        <f t="shared" ref="L57:N57" si="8">$K56/$K47</f>
        <v>0.25</v>
      </c>
      <c r="M57" s="32">
        <f t="shared" si="8"/>
        <v>0.25</v>
      </c>
      <c r="N57" s="32">
        <f t="shared" si="8"/>
        <v>0.25</v>
      </c>
      <c r="O57" s="32">
        <f>$K56/$K47</f>
        <v>0.25</v>
      </c>
      <c r="P57" s="32">
        <f>$K56/$K47</f>
        <v>0.25</v>
      </c>
      <c r="Q57" s="25" t="s">
        <v>74</v>
      </c>
    </row>
    <row r="58" spans="2:17">
      <c r="K58" s="38"/>
    </row>
    <row r="59" spans="2:17">
      <c r="B59" t="s">
        <v>75</v>
      </c>
      <c r="K59" s="37">
        <f>K53-K56</f>
        <v>600</v>
      </c>
      <c r="L59" s="34">
        <f>L53-L56</f>
        <v>660</v>
      </c>
      <c r="M59" s="34">
        <f>M53-M56</f>
        <v>726</v>
      </c>
      <c r="N59" s="34">
        <f t="shared" ref="N59:O59" si="9">N53-N56</f>
        <v>798.59999999999991</v>
      </c>
      <c r="O59" s="34">
        <f t="shared" si="9"/>
        <v>878.46000000000015</v>
      </c>
      <c r="P59" s="34">
        <f>P53-P56</f>
        <v>966.30600000000004</v>
      </c>
      <c r="Q59" s="25" t="s">
        <v>76</v>
      </c>
    </row>
    <row r="60" spans="2:17">
      <c r="B60" t="s">
        <v>68</v>
      </c>
      <c r="K60" s="41">
        <f>$K59/$K47</f>
        <v>0.3</v>
      </c>
      <c r="L60" s="32">
        <f t="shared" ref="L60:P60" si="10">$K59/$K47</f>
        <v>0.3</v>
      </c>
      <c r="M60" s="32">
        <f t="shared" si="10"/>
        <v>0.3</v>
      </c>
      <c r="N60" s="32">
        <f t="shared" si="10"/>
        <v>0.3</v>
      </c>
      <c r="O60" s="32">
        <f t="shared" si="10"/>
        <v>0.3</v>
      </c>
      <c r="P60" s="32">
        <f>$K59/$K47</f>
        <v>0.3</v>
      </c>
      <c r="Q60" s="25" t="s">
        <v>77</v>
      </c>
    </row>
    <row r="61" spans="2:17">
      <c r="K61" s="38"/>
    </row>
    <row r="62" spans="2:17">
      <c r="B62" t="s">
        <v>32</v>
      </c>
      <c r="K62" s="37">
        <f>E23</f>
        <v>100</v>
      </c>
      <c r="L62" s="34">
        <f>K63*L47</f>
        <v>110</v>
      </c>
      <c r="M62" s="34">
        <f t="shared" ref="M62:P62" si="11">L63*M47</f>
        <v>121</v>
      </c>
      <c r="N62" s="34">
        <f t="shared" si="11"/>
        <v>133.1</v>
      </c>
      <c r="O62" s="34">
        <f t="shared" si="11"/>
        <v>146.41000000000003</v>
      </c>
      <c r="P62" s="34">
        <f>O63*P47</f>
        <v>161.05100000000004</v>
      </c>
      <c r="Q62" s="25" t="s">
        <v>78</v>
      </c>
    </row>
    <row r="63" spans="2:17">
      <c r="B63" t="s">
        <v>79</v>
      </c>
      <c r="K63" s="41">
        <f>$K62/$K47</f>
        <v>0.05</v>
      </c>
      <c r="L63" s="32">
        <f t="shared" ref="L63:P63" si="12">$K62/$K47</f>
        <v>0.05</v>
      </c>
      <c r="M63" s="32">
        <f t="shared" si="12"/>
        <v>0.05</v>
      </c>
      <c r="N63" s="32">
        <f t="shared" si="12"/>
        <v>0.05</v>
      </c>
      <c r="O63" s="32">
        <f t="shared" si="12"/>
        <v>0.05</v>
      </c>
      <c r="P63" s="32">
        <f>$K62/$K47</f>
        <v>0.05</v>
      </c>
      <c r="Q63" t="s">
        <v>80</v>
      </c>
    </row>
    <row r="64" spans="2:17">
      <c r="K64" s="38"/>
    </row>
    <row r="65" spans="1:17">
      <c r="B65" t="s">
        <v>81</v>
      </c>
      <c r="K65" s="37">
        <f>K59+K62</f>
        <v>700</v>
      </c>
      <c r="L65" s="30">
        <f>L59+L62</f>
        <v>770</v>
      </c>
      <c r="M65" s="30">
        <f t="shared" ref="L65:P65" si="13">M59+M62</f>
        <v>847</v>
      </c>
      <c r="N65" s="30">
        <f t="shared" si="13"/>
        <v>931.69999999999993</v>
      </c>
      <c r="O65" s="30">
        <f t="shared" si="13"/>
        <v>1024.8700000000001</v>
      </c>
      <c r="P65" s="30">
        <f>P59+P62</f>
        <v>1127.357</v>
      </c>
      <c r="Q65" t="s">
        <v>82</v>
      </c>
    </row>
    <row r="66" spans="1:17">
      <c r="B66" t="s">
        <v>79</v>
      </c>
      <c r="K66" s="41">
        <f>$K65/$K47</f>
        <v>0.35</v>
      </c>
      <c r="L66" s="33">
        <f>$K65/$K47</f>
        <v>0.35</v>
      </c>
      <c r="M66" s="33">
        <f t="shared" ref="L66:P66" si="14">$K65/$K47</f>
        <v>0.35</v>
      </c>
      <c r="N66" s="33">
        <f t="shared" si="14"/>
        <v>0.35</v>
      </c>
      <c r="O66" s="33">
        <f t="shared" si="14"/>
        <v>0.35</v>
      </c>
      <c r="P66" s="33">
        <f>$K65/$K47</f>
        <v>0.35</v>
      </c>
      <c r="Q66" s="25" t="s">
        <v>83</v>
      </c>
    </row>
    <row r="67" spans="1:17">
      <c r="K67" s="38"/>
    </row>
    <row r="68" spans="1:17">
      <c r="B68" t="s">
        <v>17</v>
      </c>
      <c r="K68" s="38"/>
      <c r="L68" s="74">
        <f>L126</f>
        <v>440</v>
      </c>
      <c r="M68" s="74">
        <f>M126</f>
        <v>431.76499999999999</v>
      </c>
      <c r="N68" s="74">
        <f t="shared" ref="M68:P68" si="15">N126</f>
        <v>418.17466324999998</v>
      </c>
      <c r="O68" s="74">
        <f t="shared" si="15"/>
        <v>396.98054172691252</v>
      </c>
      <c r="P68" s="74">
        <f t="shared" si="15"/>
        <v>368.93798838351728</v>
      </c>
      <c r="Q68" s="25" t="s">
        <v>84</v>
      </c>
    </row>
    <row r="69" spans="1:17">
      <c r="K69" s="38"/>
    </row>
    <row r="70" spans="1:17">
      <c r="B70" t="s">
        <v>85</v>
      </c>
      <c r="K70" s="42"/>
      <c r="L70" s="29">
        <f>L59-L68</f>
        <v>220</v>
      </c>
      <c r="M70" s="29">
        <f>M59-M68</f>
        <v>294.23500000000001</v>
      </c>
      <c r="N70" s="29">
        <f t="shared" ref="M70:P70" si="16">N59-N68</f>
        <v>380.42533674999993</v>
      </c>
      <c r="O70" s="29">
        <f t="shared" si="16"/>
        <v>481.47945827308763</v>
      </c>
      <c r="P70" s="29">
        <f t="shared" si="16"/>
        <v>597.36801161648282</v>
      </c>
      <c r="Q70" s="25" t="s">
        <v>86</v>
      </c>
    </row>
    <row r="71" spans="1:17">
      <c r="B71" t="s">
        <v>79</v>
      </c>
      <c r="K71" s="43"/>
      <c r="L71" s="62">
        <f>L70/L47</f>
        <v>0.1</v>
      </c>
      <c r="M71" s="62">
        <f t="shared" ref="M71:P71" si="17">M70/M47</f>
        <v>0.12158471074380166</v>
      </c>
      <c r="N71" s="62">
        <f t="shared" si="17"/>
        <v>0.14290959306912093</v>
      </c>
      <c r="O71" s="62">
        <f t="shared" si="17"/>
        <v>0.16442847424120197</v>
      </c>
      <c r="P71" s="62">
        <f t="shared" si="17"/>
        <v>0.18545926806306162</v>
      </c>
      <c r="Q71" s="25" t="s">
        <v>87</v>
      </c>
    </row>
    <row r="72" spans="1:17">
      <c r="K72" s="38"/>
    </row>
    <row r="73" spans="1:17">
      <c r="B73" t="s">
        <v>88</v>
      </c>
      <c r="K73" s="38"/>
      <c r="L73" s="29">
        <f>L70*L74</f>
        <v>46.199999999999996</v>
      </c>
      <c r="M73" s="29">
        <f>M70*M74</f>
        <v>61.789349999999999</v>
      </c>
      <c r="N73" s="29">
        <f t="shared" ref="M73:P73" si="18">N70*N74</f>
        <v>79.889320717499984</v>
      </c>
      <c r="O73" s="29">
        <f t="shared" si="18"/>
        <v>101.1106862373484</v>
      </c>
      <c r="P73" s="29">
        <f>P70*P74</f>
        <v>125.44728243946139</v>
      </c>
      <c r="Q73" s="25" t="s">
        <v>89</v>
      </c>
    </row>
    <row r="74" spans="1:17">
      <c r="B74" t="s">
        <v>90</v>
      </c>
      <c r="K74" s="38"/>
      <c r="L74" s="31">
        <f>$E29</f>
        <v>0.21</v>
      </c>
      <c r="M74" s="31">
        <f t="shared" ref="M74:P74" si="19">$E29</f>
        <v>0.21</v>
      </c>
      <c r="N74" s="31">
        <f t="shared" si="19"/>
        <v>0.21</v>
      </c>
      <c r="O74" s="31">
        <f t="shared" si="19"/>
        <v>0.21</v>
      </c>
      <c r="P74" s="31">
        <f>$E29</f>
        <v>0.21</v>
      </c>
    </row>
    <row r="75" spans="1:17">
      <c r="K75" s="38"/>
    </row>
    <row r="76" spans="1:17">
      <c r="B76" t="s">
        <v>91</v>
      </c>
      <c r="K76" s="38"/>
      <c r="L76" s="29">
        <f>L70-L73</f>
        <v>173.8</v>
      </c>
      <c r="M76" s="29">
        <f>M70-M73</f>
        <v>232.44565</v>
      </c>
      <c r="N76" s="29">
        <f t="shared" ref="M76:P76" si="20">N70-N73</f>
        <v>300.53601603249996</v>
      </c>
      <c r="O76" s="29">
        <f t="shared" si="20"/>
        <v>380.3687720357392</v>
      </c>
      <c r="P76" s="29">
        <f>P70-P73</f>
        <v>471.92072917702143</v>
      </c>
      <c r="Q76" s="25" t="s">
        <v>92</v>
      </c>
    </row>
    <row r="77" spans="1:17">
      <c r="B77" t="s">
        <v>79</v>
      </c>
      <c r="K77" s="38"/>
      <c r="L77" s="36">
        <f>L76/L47</f>
        <v>7.9000000000000001E-2</v>
      </c>
      <c r="M77" s="36">
        <f t="shared" ref="M77:P77" si="21">M76/M47</f>
        <v>9.6051921487603303E-2</v>
      </c>
      <c r="N77" s="36">
        <f t="shared" si="21"/>
        <v>0.11289857852460554</v>
      </c>
      <c r="O77" s="36">
        <f t="shared" si="21"/>
        <v>0.12989849465054953</v>
      </c>
      <c r="P77" s="36">
        <f>P76/P47</f>
        <v>0.14651282176981867</v>
      </c>
      <c r="Q77" s="25" t="s">
        <v>93</v>
      </c>
    </row>
    <row r="78" spans="1:17">
      <c r="K78" s="38"/>
    </row>
    <row r="79" spans="1:17">
      <c r="K79" s="38"/>
    </row>
    <row r="80" spans="1:17">
      <c r="A80" s="56"/>
      <c r="B80" s="7" t="s">
        <v>94</v>
      </c>
      <c r="C80" s="8"/>
      <c r="D80" s="8"/>
      <c r="E80" s="8"/>
      <c r="F80" s="8"/>
      <c r="G80" s="8"/>
      <c r="H80" s="8"/>
      <c r="I80" s="8"/>
      <c r="J80" s="8"/>
      <c r="K80" s="58">
        <v>0</v>
      </c>
      <c r="L80" s="28">
        <f>K80+1</f>
        <v>1</v>
      </c>
      <c r="M80" s="28">
        <f t="shared" ref="M80:P80" si="22">L80+1</f>
        <v>2</v>
      </c>
      <c r="N80" s="28">
        <f t="shared" si="22"/>
        <v>3</v>
      </c>
      <c r="O80" s="28">
        <f t="shared" si="22"/>
        <v>4</v>
      </c>
      <c r="P80" s="28">
        <f t="shared" si="22"/>
        <v>5</v>
      </c>
    </row>
    <row r="81" spans="2:17">
      <c r="B81" t="s">
        <v>32</v>
      </c>
      <c r="K81" s="37">
        <f>K62</f>
        <v>100</v>
      </c>
      <c r="L81" s="30">
        <f t="shared" ref="L81:P81" si="23">L62</f>
        <v>110</v>
      </c>
      <c r="M81" s="30">
        <f t="shared" si="23"/>
        <v>121</v>
      </c>
      <c r="N81" s="30">
        <f t="shared" si="23"/>
        <v>133.1</v>
      </c>
      <c r="O81" s="30">
        <f t="shared" si="23"/>
        <v>146.41000000000003</v>
      </c>
      <c r="P81" s="30">
        <f>P62</f>
        <v>161.05100000000004</v>
      </c>
    </row>
    <row r="82" spans="2:17">
      <c r="B82" s="14" t="s">
        <v>79</v>
      </c>
      <c r="K82" s="59">
        <f>K63</f>
        <v>0.05</v>
      </c>
      <c r="L82" s="31">
        <f t="shared" ref="L82:P82" si="24">L63</f>
        <v>0.05</v>
      </c>
      <c r="M82" s="31">
        <f t="shared" si="24"/>
        <v>0.05</v>
      </c>
      <c r="N82" s="31">
        <f t="shared" si="24"/>
        <v>0.05</v>
      </c>
      <c r="O82" s="31">
        <f t="shared" si="24"/>
        <v>0.05</v>
      </c>
      <c r="P82" s="31">
        <f>P63</f>
        <v>0.05</v>
      </c>
    </row>
    <row r="83" spans="2:17">
      <c r="K83" s="38"/>
    </row>
    <row r="84" spans="2:17">
      <c r="B84" t="s">
        <v>95</v>
      </c>
      <c r="K84" s="39">
        <v>200</v>
      </c>
      <c r="L84" s="20">
        <f>L47*K85</f>
        <v>220</v>
      </c>
      <c r="M84" s="20">
        <f t="shared" ref="M84:P84" si="25">M47*L85</f>
        <v>242</v>
      </c>
      <c r="N84" s="20">
        <f t="shared" si="25"/>
        <v>266.2</v>
      </c>
      <c r="O84" s="20">
        <f t="shared" si="25"/>
        <v>292.82000000000005</v>
      </c>
      <c r="P84" s="20">
        <f>P47*O85</f>
        <v>322.10200000000009</v>
      </c>
      <c r="Q84" s="25" t="s">
        <v>73</v>
      </c>
    </row>
    <row r="85" spans="2:17">
      <c r="B85" s="14" t="s">
        <v>79</v>
      </c>
      <c r="K85" s="60">
        <f>$K84/$K47</f>
        <v>0.1</v>
      </c>
      <c r="L85" s="61">
        <f t="shared" ref="L85:P85" si="26">$K84/$K47</f>
        <v>0.1</v>
      </c>
      <c r="M85" s="61">
        <f t="shared" si="26"/>
        <v>0.1</v>
      </c>
      <c r="N85" s="61">
        <f t="shared" si="26"/>
        <v>0.1</v>
      </c>
      <c r="O85" s="61">
        <f t="shared" si="26"/>
        <v>0.1</v>
      </c>
      <c r="P85" s="61">
        <f>$K84/$K47</f>
        <v>0.1</v>
      </c>
      <c r="Q85" s="25" t="s">
        <v>96</v>
      </c>
    </row>
    <row r="86" spans="2:17">
      <c r="B86" t="s">
        <v>97</v>
      </c>
      <c r="K86" s="38"/>
      <c r="L86" s="20">
        <f>L84-K84</f>
        <v>20</v>
      </c>
      <c r="M86" s="20">
        <f t="shared" ref="M86:N86" si="27">M84-L84</f>
        <v>22</v>
      </c>
      <c r="N86" s="20">
        <f t="shared" si="27"/>
        <v>24.199999999999989</v>
      </c>
      <c r="O86" s="20">
        <f>O84-N84</f>
        <v>26.620000000000061</v>
      </c>
      <c r="P86" s="20">
        <f>P84-O84</f>
        <v>29.282000000000039</v>
      </c>
      <c r="Q86" s="25" t="s">
        <v>98</v>
      </c>
    </row>
    <row r="87" spans="2:17">
      <c r="K87" s="38"/>
    </row>
    <row r="88" spans="2:17">
      <c r="B88" t="s">
        <v>36</v>
      </c>
      <c r="K88" s="39">
        <f>E25</f>
        <v>140</v>
      </c>
      <c r="L88" s="20">
        <f>L47*K89</f>
        <v>154.00000000000003</v>
      </c>
      <c r="M88" s="20">
        <f t="shared" ref="M88:O88" si="28">M47*L89</f>
        <v>169.4</v>
      </c>
      <c r="N88" s="20">
        <f t="shared" si="28"/>
        <v>186.34000000000003</v>
      </c>
      <c r="O88" s="20">
        <f t="shared" si="28"/>
        <v>204.97400000000005</v>
      </c>
      <c r="P88" s="20">
        <f>P47*O89</f>
        <v>225.47140000000005</v>
      </c>
      <c r="Q88" s="25" t="s">
        <v>73</v>
      </c>
    </row>
    <row r="89" spans="2:17">
      <c r="B89" s="14" t="s">
        <v>79</v>
      </c>
      <c r="K89" s="60">
        <f>$K88/$K47</f>
        <v>7.0000000000000007E-2</v>
      </c>
      <c r="L89" s="61">
        <f t="shared" ref="L89:O89" si="29">$K88/$K47</f>
        <v>7.0000000000000007E-2</v>
      </c>
      <c r="M89" s="61">
        <f t="shared" si="29"/>
        <v>7.0000000000000007E-2</v>
      </c>
      <c r="N89" s="61">
        <f t="shared" si="29"/>
        <v>7.0000000000000007E-2</v>
      </c>
      <c r="O89" s="61">
        <f t="shared" si="29"/>
        <v>7.0000000000000007E-2</v>
      </c>
      <c r="P89" s="61">
        <f>$K88/$K47</f>
        <v>7.0000000000000007E-2</v>
      </c>
      <c r="Q89" s="25" t="s">
        <v>99</v>
      </c>
    </row>
    <row r="90" spans="2:17">
      <c r="K90" s="38"/>
    </row>
    <row r="91" spans="2:17">
      <c r="K91" s="38"/>
    </row>
    <row r="92" spans="2:17">
      <c r="B92" s="7" t="s">
        <v>100</v>
      </c>
      <c r="C92" s="8"/>
      <c r="D92" s="8"/>
      <c r="E92" s="8"/>
      <c r="F92" s="8"/>
      <c r="G92" s="8"/>
      <c r="H92" s="8"/>
      <c r="I92" s="8"/>
      <c r="J92" s="8"/>
      <c r="K92" s="57">
        <v>0</v>
      </c>
      <c r="L92" s="28">
        <f>K92+1</f>
        <v>1</v>
      </c>
      <c r="M92" s="28">
        <f t="shared" ref="M92:P92" si="30">L92+1</f>
        <v>2</v>
      </c>
      <c r="N92" s="28">
        <f t="shared" si="30"/>
        <v>3</v>
      </c>
      <c r="O92" s="28">
        <f t="shared" si="30"/>
        <v>4</v>
      </c>
      <c r="P92" s="28">
        <f t="shared" si="30"/>
        <v>5</v>
      </c>
    </row>
    <row r="93" spans="2:17">
      <c r="B93" t="s">
        <v>101</v>
      </c>
      <c r="K93" s="38"/>
      <c r="L93" s="30">
        <f>L76</f>
        <v>173.8</v>
      </c>
      <c r="M93" s="30">
        <f>M76</f>
        <v>232.44565</v>
      </c>
      <c r="N93" s="30">
        <f t="shared" ref="N93:O93" si="31">N76</f>
        <v>300.53601603249996</v>
      </c>
      <c r="O93" s="30">
        <f t="shared" si="31"/>
        <v>380.3687720357392</v>
      </c>
      <c r="P93" s="30">
        <f>P76</f>
        <v>471.92072917702143</v>
      </c>
    </row>
    <row r="94" spans="2:17">
      <c r="B94" t="s">
        <v>32</v>
      </c>
      <c r="K94" s="38"/>
      <c r="L94" s="30">
        <f>L81</f>
        <v>110</v>
      </c>
      <c r="M94" s="30">
        <f t="shared" ref="M94:O94" si="32">M81</f>
        <v>121</v>
      </c>
      <c r="N94" s="30">
        <f t="shared" si="32"/>
        <v>133.1</v>
      </c>
      <c r="O94" s="30">
        <f t="shared" si="32"/>
        <v>146.41000000000003</v>
      </c>
      <c r="P94" s="30">
        <f>P81</f>
        <v>161.05100000000004</v>
      </c>
    </row>
    <row r="95" spans="2:17">
      <c r="B95" t="s">
        <v>36</v>
      </c>
      <c r="K95" s="38"/>
      <c r="L95" s="64">
        <f>L88</f>
        <v>154.00000000000003</v>
      </c>
      <c r="M95" s="64">
        <f t="shared" ref="M95:O95" si="33">M88</f>
        <v>169.4</v>
      </c>
      <c r="N95" s="64">
        <f t="shared" si="33"/>
        <v>186.34000000000003</v>
      </c>
      <c r="O95" s="64">
        <f t="shared" si="33"/>
        <v>204.97400000000005</v>
      </c>
      <c r="P95" s="64">
        <f>P88</f>
        <v>225.47140000000005</v>
      </c>
    </row>
    <row r="96" spans="2:17">
      <c r="B96" t="s">
        <v>102</v>
      </c>
      <c r="K96" s="38"/>
      <c r="L96" s="64">
        <f>L86</f>
        <v>20</v>
      </c>
      <c r="M96" s="64">
        <f t="shared" ref="M96:O96" si="34">M86</f>
        <v>22</v>
      </c>
      <c r="N96" s="64">
        <f t="shared" si="34"/>
        <v>24.199999999999989</v>
      </c>
      <c r="O96" s="64">
        <f t="shared" si="34"/>
        <v>26.620000000000061</v>
      </c>
      <c r="P96" s="64">
        <f>P86</f>
        <v>29.282000000000039</v>
      </c>
    </row>
    <row r="97" spans="2:24">
      <c r="K97" s="38"/>
    </row>
    <row r="98" spans="2:24">
      <c r="B98" t="s">
        <v>103</v>
      </c>
      <c r="K98" s="38"/>
      <c r="L98" s="65" t="s">
        <v>104</v>
      </c>
      <c r="M98" s="65" t="s">
        <v>104</v>
      </c>
      <c r="N98" s="65" t="s">
        <v>104</v>
      </c>
      <c r="O98" s="65" t="s">
        <v>104</v>
      </c>
      <c r="P98" s="65" t="s">
        <v>104</v>
      </c>
    </row>
    <row r="99" spans="2:24">
      <c r="K99" s="38"/>
    </row>
    <row r="100" spans="2:24">
      <c r="B100" s="49" t="s">
        <v>100</v>
      </c>
      <c r="C100" s="50"/>
      <c r="D100" s="50"/>
      <c r="E100" s="50"/>
      <c r="F100" s="50"/>
      <c r="G100" s="50"/>
      <c r="H100" s="50"/>
      <c r="I100" s="50"/>
      <c r="J100" s="50"/>
      <c r="K100" s="66"/>
      <c r="L100" s="51">
        <f>L93+L94-L95-L96</f>
        <v>109.79999999999998</v>
      </c>
      <c r="M100" s="51">
        <f>M93+M94-M95-M96</f>
        <v>162.04564999999999</v>
      </c>
      <c r="N100" s="51">
        <f t="shared" ref="M100:P100" si="35">N93+N94-N95-N96</f>
        <v>223.0960160324999</v>
      </c>
      <c r="O100" s="51">
        <f t="shared" si="35"/>
        <v>295.18477203573906</v>
      </c>
      <c r="P100" s="67">
        <f t="shared" si="35"/>
        <v>378.21832917702136</v>
      </c>
      <c r="Q100" s="25" t="s">
        <v>105</v>
      </c>
    </row>
    <row r="101" spans="2:24">
      <c r="K101" s="38"/>
      <c r="Q101" s="25" t="s">
        <v>106</v>
      </c>
    </row>
    <row r="102" spans="2:24" ht="15.75">
      <c r="B102" s="6" t="s">
        <v>107</v>
      </c>
      <c r="C102" s="5"/>
      <c r="D102" s="5"/>
      <c r="E102" s="5"/>
      <c r="F102" s="5"/>
      <c r="G102" s="5"/>
      <c r="H102" s="5"/>
      <c r="I102" s="5"/>
      <c r="J102" s="5"/>
      <c r="K102" s="68"/>
      <c r="L102" s="5"/>
      <c r="M102" s="5"/>
      <c r="N102" s="5"/>
      <c r="O102" s="5"/>
      <c r="P102" s="5"/>
      <c r="Q102" s="25"/>
    </row>
    <row r="103" spans="2:24">
      <c r="K103" s="69"/>
      <c r="Q103" s="89" t="s">
        <v>108</v>
      </c>
    </row>
    <row r="104" spans="2:24">
      <c r="B104" s="7"/>
      <c r="C104" s="8"/>
      <c r="D104" s="8"/>
      <c r="E104" s="8"/>
      <c r="F104" s="8"/>
      <c r="G104" s="8"/>
      <c r="H104" s="8"/>
      <c r="I104" s="8"/>
      <c r="J104" s="8"/>
      <c r="K104" s="57">
        <v>0</v>
      </c>
      <c r="L104" s="28">
        <f>K104+1</f>
        <v>1</v>
      </c>
      <c r="M104" s="28">
        <f t="shared" ref="M104:P104" si="36">L104+1</f>
        <v>2</v>
      </c>
      <c r="N104" s="28">
        <f t="shared" si="36"/>
        <v>3</v>
      </c>
      <c r="O104" s="28">
        <f t="shared" si="36"/>
        <v>4</v>
      </c>
      <c r="P104" s="28">
        <f t="shared" si="36"/>
        <v>5</v>
      </c>
      <c r="Q104" t="s">
        <v>109</v>
      </c>
    </row>
    <row r="105" spans="2:24">
      <c r="B105" s="46" t="s">
        <v>20</v>
      </c>
      <c r="K105" s="38"/>
      <c r="Q105" t="s">
        <v>110</v>
      </c>
    </row>
    <row r="106" spans="2:24">
      <c r="B106" s="70" t="s">
        <v>111</v>
      </c>
      <c r="K106" s="38"/>
      <c r="L106" s="30">
        <f>K109</f>
        <v>200</v>
      </c>
      <c r="M106" s="30">
        <f>L109</f>
        <v>90.200000000000017</v>
      </c>
      <c r="N106" s="30">
        <f t="shared" ref="N106" si="37">M109</f>
        <v>0</v>
      </c>
      <c r="O106" s="30">
        <f>N109</f>
        <v>0</v>
      </c>
      <c r="P106" s="30">
        <f>O109</f>
        <v>0</v>
      </c>
      <c r="V106" s="15"/>
      <c r="W106" s="15"/>
      <c r="X106" s="15"/>
    </row>
    <row r="107" spans="2:24">
      <c r="B107" s="70" t="s">
        <v>17</v>
      </c>
      <c r="K107" s="38"/>
      <c r="L107">
        <f>L106*P19</f>
        <v>15</v>
      </c>
      <c r="M107" s="20">
        <f>M106*$P$19</f>
        <v>6.7650000000000015</v>
      </c>
      <c r="N107" s="20">
        <f t="shared" ref="N107:P107" si="38">N106*$P$19</f>
        <v>0</v>
      </c>
      <c r="O107" s="20">
        <f t="shared" si="38"/>
        <v>0</v>
      </c>
      <c r="P107" s="20">
        <f t="shared" si="38"/>
        <v>0</v>
      </c>
      <c r="Q107" s="25" t="s">
        <v>112</v>
      </c>
    </row>
    <row r="108" spans="2:24">
      <c r="B108" s="70" t="s">
        <v>113</v>
      </c>
      <c r="K108" s="38"/>
      <c r="L108" s="29">
        <f>MIN(L100,L106)</f>
        <v>109.79999999999998</v>
      </c>
      <c r="M108" s="29">
        <f>MIN(M100,M106)</f>
        <v>90.200000000000017</v>
      </c>
      <c r="N108" s="29">
        <f t="shared" ref="M108:P108" si="39">MIN(N100,N106)</f>
        <v>0</v>
      </c>
      <c r="O108" s="29">
        <f t="shared" si="39"/>
        <v>0</v>
      </c>
      <c r="P108" s="29">
        <f t="shared" si="39"/>
        <v>0</v>
      </c>
      <c r="Q108" s="25" t="s">
        <v>114</v>
      </c>
    </row>
    <row r="109" spans="2:24">
      <c r="B109" s="15" t="s">
        <v>115</v>
      </c>
      <c r="C109" s="15"/>
      <c r="D109" s="15"/>
      <c r="E109" s="15"/>
      <c r="F109" s="15"/>
      <c r="G109" s="15"/>
      <c r="H109" s="15"/>
      <c r="I109" s="15"/>
      <c r="J109" s="15"/>
      <c r="K109" s="71">
        <f>O19</f>
        <v>200</v>
      </c>
      <c r="L109" s="35">
        <f>L106-L108</f>
        <v>90.200000000000017</v>
      </c>
      <c r="M109" s="35">
        <f t="shared" ref="M109:N109" si="40">M106-M108</f>
        <v>0</v>
      </c>
      <c r="N109" s="35">
        <f t="shared" si="40"/>
        <v>0</v>
      </c>
      <c r="O109" s="35">
        <f>O106-O108</f>
        <v>0</v>
      </c>
      <c r="P109" s="35">
        <f>P106-P108</f>
        <v>0</v>
      </c>
      <c r="Q109" s="25" t="s">
        <v>116</v>
      </c>
    </row>
    <row r="110" spans="2:24">
      <c r="K110" s="38"/>
    </row>
    <row r="111" spans="2:24">
      <c r="B111" s="46" t="s">
        <v>117</v>
      </c>
      <c r="K111" s="38"/>
    </row>
    <row r="112" spans="2:24">
      <c r="B112" s="70" t="s">
        <v>111</v>
      </c>
      <c r="K112" s="38"/>
      <c r="L112" s="30">
        <f>K115</f>
        <v>2500</v>
      </c>
      <c r="M112" s="30">
        <f>L115</f>
        <v>2500</v>
      </c>
      <c r="N112" s="30">
        <f>M115</f>
        <v>2428.1543499999998</v>
      </c>
      <c r="O112" s="30">
        <f t="shared" ref="O112" si="41">N115</f>
        <v>2205.0583339674999</v>
      </c>
      <c r="P112" s="30">
        <f>O115</f>
        <v>1909.8735619317608</v>
      </c>
    </row>
    <row r="113" spans="2:17">
      <c r="B113" s="70" t="s">
        <v>17</v>
      </c>
      <c r="K113" s="38"/>
      <c r="L113" s="20">
        <f>L112*$P20</f>
        <v>237.5</v>
      </c>
      <c r="M113" s="20">
        <f>M112*$P20</f>
        <v>237.5</v>
      </c>
      <c r="N113" s="20">
        <f>N112*$P20</f>
        <v>230.67466324999998</v>
      </c>
      <c r="O113" s="20">
        <f>O112*$P20</f>
        <v>209.48054172691249</v>
      </c>
      <c r="P113" s="20">
        <f>P112*$P20</f>
        <v>181.43798838351728</v>
      </c>
      <c r="Q113" s="25" t="s">
        <v>118</v>
      </c>
    </row>
    <row r="114" spans="2:17">
      <c r="B114" s="70" t="s">
        <v>113</v>
      </c>
      <c r="K114" s="38"/>
      <c r="L114" s="29">
        <f>MIN(L112,L100-L108)</f>
        <v>0</v>
      </c>
      <c r="M114" s="29">
        <f>MIN(M112,M100-M108)</f>
        <v>71.845649999999978</v>
      </c>
      <c r="N114" s="29">
        <f t="shared" ref="M114:P114" si="42">MIN(N112,N100-N108)</f>
        <v>223.0960160324999</v>
      </c>
      <c r="O114" s="29">
        <f t="shared" si="42"/>
        <v>295.18477203573906</v>
      </c>
      <c r="P114" s="29">
        <f>MIN(P112,P100-P108)</f>
        <v>378.21832917702136</v>
      </c>
      <c r="Q114" s="25" t="s">
        <v>119</v>
      </c>
    </row>
    <row r="115" spans="2:17">
      <c r="B115" s="15" t="s">
        <v>115</v>
      </c>
      <c r="C115" s="15"/>
      <c r="D115" s="15"/>
      <c r="E115" s="15"/>
      <c r="F115" s="15"/>
      <c r="G115" s="15"/>
      <c r="H115" s="15"/>
      <c r="I115" s="15"/>
      <c r="J115" s="15"/>
      <c r="K115" s="71">
        <f>O20</f>
        <v>2500</v>
      </c>
      <c r="L115" s="35">
        <f>L112-L114</f>
        <v>2500</v>
      </c>
      <c r="M115" s="35">
        <f>M112-M114</f>
        <v>2428.1543499999998</v>
      </c>
      <c r="N115" s="35">
        <f t="shared" ref="M115:P115" si="43">N112-N114</f>
        <v>2205.0583339674999</v>
      </c>
      <c r="O115" s="35">
        <f>O112-O114</f>
        <v>1909.8735619317608</v>
      </c>
      <c r="P115" s="35">
        <f>P112-P114</f>
        <v>1531.6552327547395</v>
      </c>
      <c r="Q115" s="25" t="s">
        <v>116</v>
      </c>
    </row>
    <row r="116" spans="2:17">
      <c r="K116" s="38"/>
    </row>
    <row r="117" spans="2:17">
      <c r="B117" s="46" t="s">
        <v>28</v>
      </c>
      <c r="K117" s="38"/>
    </row>
    <row r="118" spans="2:17">
      <c r="B118" s="70" t="s">
        <v>111</v>
      </c>
      <c r="K118" s="38"/>
      <c r="L118" s="30">
        <f>K121</f>
        <v>1500</v>
      </c>
      <c r="M118" s="30">
        <f t="shared" ref="M118:P118" si="44">L121</f>
        <v>1500</v>
      </c>
      <c r="N118" s="30">
        <f t="shared" si="44"/>
        <v>1500</v>
      </c>
      <c r="O118" s="30">
        <f t="shared" si="44"/>
        <v>1500</v>
      </c>
      <c r="P118" s="30">
        <f>O121</f>
        <v>1500</v>
      </c>
    </row>
    <row r="119" spans="2:17">
      <c r="B119" s="70" t="s">
        <v>17</v>
      </c>
      <c r="K119" s="38"/>
      <c r="L119" s="20">
        <f>L118*P21</f>
        <v>187.5</v>
      </c>
      <c r="M119" s="20">
        <f>M118*P21</f>
        <v>187.5</v>
      </c>
      <c r="N119" s="20">
        <f>N118*P21</f>
        <v>187.5</v>
      </c>
      <c r="O119" s="20">
        <f>O118*P21</f>
        <v>187.5</v>
      </c>
      <c r="P119" s="20">
        <f>P118*P21</f>
        <v>187.5</v>
      </c>
      <c r="Q119" s="25" t="s">
        <v>120</v>
      </c>
    </row>
    <row r="120" spans="2:17">
      <c r="B120" s="70" t="s">
        <v>113</v>
      </c>
      <c r="K120" s="38"/>
      <c r="L120" s="29">
        <f>MIN(L118,L100-L108-L114)</f>
        <v>0</v>
      </c>
      <c r="M120" s="29">
        <f t="shared" ref="M120:P120" si="45">MIN(M118,M100-M108-M114)</f>
        <v>0</v>
      </c>
      <c r="N120" s="29">
        <f t="shared" si="45"/>
        <v>0</v>
      </c>
      <c r="O120" s="29">
        <f t="shared" si="45"/>
        <v>0</v>
      </c>
      <c r="P120" s="29">
        <f>MIN(P118,P100-P108-P114)</f>
        <v>0</v>
      </c>
      <c r="Q120" s="25" t="s">
        <v>121</v>
      </c>
    </row>
    <row r="121" spans="2:17">
      <c r="B121" s="15" t="s">
        <v>115</v>
      </c>
      <c r="C121" s="15"/>
      <c r="D121" s="15"/>
      <c r="E121" s="15"/>
      <c r="F121" s="15"/>
      <c r="G121" s="15"/>
      <c r="H121" s="15"/>
      <c r="I121" s="15"/>
      <c r="J121" s="15"/>
      <c r="K121" s="71">
        <f>O21</f>
        <v>1500</v>
      </c>
      <c r="L121" s="35">
        <f>L118-L120</f>
        <v>1500</v>
      </c>
      <c r="M121" s="35">
        <f>M118-M120</f>
        <v>1500</v>
      </c>
      <c r="N121" s="35">
        <f>N118-N120</f>
        <v>1500</v>
      </c>
      <c r="O121" s="35">
        <f>O118-O120</f>
        <v>1500</v>
      </c>
      <c r="P121" s="35">
        <f>P118-P120</f>
        <v>1500</v>
      </c>
      <c r="Q121" s="25" t="s">
        <v>116</v>
      </c>
    </row>
    <row r="122" spans="2:17">
      <c r="K122" s="38"/>
    </row>
    <row r="123" spans="2:17">
      <c r="K123" s="38"/>
    </row>
    <row r="124" spans="2:17">
      <c r="B124" s="46" t="s">
        <v>122</v>
      </c>
      <c r="K124" s="38"/>
    </row>
    <row r="125" spans="2:17">
      <c r="B125" s="70" t="s">
        <v>111</v>
      </c>
      <c r="K125" s="38"/>
      <c r="L125" s="29">
        <f>L118+L112+L106</f>
        <v>4200</v>
      </c>
      <c r="M125" s="29">
        <f t="shared" ref="M125:P125" si="46">M118+M112+M106</f>
        <v>4090.2</v>
      </c>
      <c r="N125" s="29">
        <f t="shared" si="46"/>
        <v>3928.1543499999998</v>
      </c>
      <c r="O125" s="29">
        <f t="shared" si="46"/>
        <v>3705.0583339674999</v>
      </c>
      <c r="P125" s="29">
        <f>P118+P112+P106</f>
        <v>3409.8735619317608</v>
      </c>
    </row>
    <row r="126" spans="2:17">
      <c r="B126" s="70" t="s">
        <v>17</v>
      </c>
      <c r="K126" s="38"/>
      <c r="L126" s="29">
        <f>L119+L113+L107</f>
        <v>440</v>
      </c>
      <c r="M126" s="29">
        <f>M119+M113+M107</f>
        <v>431.76499999999999</v>
      </c>
      <c r="N126" s="29">
        <f t="shared" ref="L126:P128" si="47">N119+N113+N107</f>
        <v>418.17466324999998</v>
      </c>
      <c r="O126" s="29">
        <f t="shared" si="47"/>
        <v>396.98054172691252</v>
      </c>
      <c r="P126" s="29">
        <f>P119+P113+P107</f>
        <v>368.93798838351728</v>
      </c>
    </row>
    <row r="127" spans="2:17">
      <c r="B127" s="70" t="s">
        <v>113</v>
      </c>
      <c r="K127" s="38"/>
      <c r="L127" s="29">
        <f t="shared" ref="L127" si="48">L120+L114+L108</f>
        <v>109.79999999999998</v>
      </c>
      <c r="M127" s="29">
        <f t="shared" si="47"/>
        <v>162.04564999999999</v>
      </c>
      <c r="N127" s="29">
        <f t="shared" si="47"/>
        <v>223.0960160324999</v>
      </c>
      <c r="O127" s="29">
        <f t="shared" si="47"/>
        <v>295.18477203573906</v>
      </c>
      <c r="P127" s="29">
        <f>P120+P114+P108</f>
        <v>378.21832917702136</v>
      </c>
    </row>
    <row r="128" spans="2:17">
      <c r="B128" s="72" t="s">
        <v>123</v>
      </c>
      <c r="C128" s="15"/>
      <c r="D128" s="15"/>
      <c r="E128" s="15"/>
      <c r="F128" s="15"/>
      <c r="G128" s="15"/>
      <c r="H128" s="15"/>
      <c r="I128" s="15"/>
      <c r="J128" s="15"/>
      <c r="K128" s="73">
        <f>L125</f>
        <v>4200</v>
      </c>
      <c r="L128" s="44">
        <f t="shared" ref="L128" si="49">L121+L115+L109</f>
        <v>4090.2</v>
      </c>
      <c r="M128" s="35">
        <f t="shared" si="47"/>
        <v>3928.1543499999998</v>
      </c>
      <c r="N128" s="35">
        <f t="shared" si="47"/>
        <v>3705.0583339674999</v>
      </c>
      <c r="O128" s="35">
        <f t="shared" si="47"/>
        <v>3409.8735619317608</v>
      </c>
      <c r="P128" s="35">
        <f>P121+P115+P109</f>
        <v>3031.6552327547397</v>
      </c>
    </row>
    <row r="129" spans="2:17">
      <c r="K129" s="38"/>
    </row>
    <row r="130" spans="2:17">
      <c r="K130" s="38"/>
    </row>
    <row r="131" spans="2:17" ht="15.75">
      <c r="B131" s="6" t="s">
        <v>40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3" spans="2:17">
      <c r="B133" t="s">
        <v>124</v>
      </c>
      <c r="P133" s="79">
        <f>P65</f>
        <v>1127.357</v>
      </c>
    </row>
    <row r="134" spans="2:17">
      <c r="B134" s="75" t="s">
        <v>46</v>
      </c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80">
        <f>J28</f>
        <v>10</v>
      </c>
      <c r="Q134" s="25" t="s">
        <v>125</v>
      </c>
    </row>
    <row r="135" spans="2:17">
      <c r="B135" t="s">
        <v>126</v>
      </c>
      <c r="P135" s="81">
        <f>P133*P134</f>
        <v>11273.57</v>
      </c>
      <c r="Q135" s="25" t="s">
        <v>127</v>
      </c>
    </row>
    <row r="136" spans="2:17">
      <c r="B136" t="s">
        <v>128</v>
      </c>
      <c r="P136" s="81">
        <f>P128</f>
        <v>3031.6552327547397</v>
      </c>
    </row>
    <row r="137" spans="2:17">
      <c r="B137" s="76" t="s">
        <v>129</v>
      </c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3">
        <f>P135-P136</f>
        <v>8241.91476724526</v>
      </c>
      <c r="Q137" s="25" t="s">
        <v>130</v>
      </c>
    </row>
    <row r="139" spans="2:17">
      <c r="B139" t="s">
        <v>131</v>
      </c>
      <c r="P139" s="81">
        <f>D40</f>
        <v>2900</v>
      </c>
      <c r="Q139" s="25" t="s">
        <v>132</v>
      </c>
    </row>
    <row r="141" spans="2:17">
      <c r="B141" s="77" t="s">
        <v>133</v>
      </c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5">
        <f>P137/P139</f>
        <v>2.8420395749121585</v>
      </c>
      <c r="Q141" s="25" t="s">
        <v>134</v>
      </c>
    </row>
    <row r="142" spans="2:17">
      <c r="B142" s="78" t="s">
        <v>40</v>
      </c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7">
        <f>P141^(1/5)-1</f>
        <v>0.23232717123052216</v>
      </c>
      <c r="Q142" s="25" t="s">
        <v>135</v>
      </c>
    </row>
    <row r="143" spans="2:17">
      <c r="Q143" s="25" t="s">
        <v>136</v>
      </c>
    </row>
    <row r="144" spans="2:17">
      <c r="Q144" s="2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2026-06-23T20:33:19Z</dcterms:created>
  <dcterms:modified xsi:type="dcterms:W3CDTF">2026-07-01T14:03:14Z</dcterms:modified>
  <cp:category/>
  <cp:contentStatus/>
</cp:coreProperties>
</file>