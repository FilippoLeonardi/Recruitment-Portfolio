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Sources_Uses" state="visible" r:id="rId5"/>
    <sheet sheetId="3" name="Income_Stmt" state="visible" r:id="rId6"/>
    <sheet sheetId="4" name="Debt_Schedule" state="visible" r:id="rId7"/>
    <sheet sheetId="5" name="Cash_Flow" state="visible" r:id="rId8"/>
    <sheet sheetId="6" name="Balance_Sheet" state="visible" r:id="rId9"/>
    <sheet sheetId="7" name="Returns" state="visible" r:id="rId10"/>
  </sheets>
  <definedNames>
    <definedName name="ASM_LTM_EBITDA">Assumptions!$C$5</definedName>
    <definedName name="ASM_ENTRY_MULT">Assumptions!$C$6</definedName>
    <definedName name="ASM_ENTRY_EV">Assumptions!$C$7</definedName>
    <definedName name="ASM_TRANS_FEES">Assumptions!$C$8</definedName>
    <definedName name="ASM_FIN_FEES">Assumptions!$C$9</definedName>
    <definedName name="ASM_MGMT_ROLLOVER">Assumptions!$C$10</definedName>
    <definedName name="ASM_TLB_AMT">Assumptions!$D$15</definedName>
    <definedName name="ASM_TLB_RATE">Assumptions!$E$15</definedName>
    <definedName name="ASM_TLB_CAMRT">Assumptions!$F$15</definedName>
    <definedName name="ASM_SSN_AMT">Assumptions!$D$16</definedName>
    <definedName name="ASM_SSN_RATE">Assumptions!$E$16</definedName>
    <definedName name="ASM_MEZ_AMT">Assumptions!$D$17</definedName>
    <definedName name="ASM_MEZ_RATE">Assumptions!$E$17</definedName>
    <definedName name="ASM_MEZ_PIK">Assumptions!$G$17</definedName>
    <definedName name="ASM_TOT_DEBT">Assumptions!$D$19</definedName>
    <definedName name="ASM_EQUITY">Assumptions!$D$20</definedName>
    <definedName name="ASM_REV_LTM">Assumptions!$C$27</definedName>
    <definedName name="ASM_EBITDA_LTM">Assumptions!$C$28</definedName>
    <definedName name="ASM_DA_LTM">Assumptions!$C$30</definedName>
    <definedName name="ASM_EBIT_LTM">Assumptions!$C$31</definedName>
    <definedName name="ASM_CAPEX_LTM">Assumptions!$C$33</definedName>
    <definedName name="ASM_NWC_LTM">Assumptions!$C$34</definedName>
    <definedName name="ASM_EXIT_YEAR">Assumptions!$C$50</definedName>
    <definedName name="ASM_EXIT_MULT">Assumptions!$C$51</definedName>
    <definedName name="ASM_EXIT_FEE">Assumptions!$C$52</definedName>
    <definedName name="ASM_REV_Y1">Assumptions!$D$27</definedName>
    <definedName name="ASM_REV_Y2">Assumptions!$E$27</definedName>
    <definedName name="ASM_REV_Y3">Assumptions!$F$27</definedName>
    <definedName name="ASM_REV_Y4">Assumptions!$G$27</definedName>
    <definedName name="ASM_REV_Y5">Assumptions!$H$27</definedName>
    <definedName name="ASM_EBITDA_Y1">Assumptions!$D$28</definedName>
    <definedName name="ASM_EBITDA_Y2">Assumptions!$E$28</definedName>
    <definedName name="ASM_EBITDA_Y3">Assumptions!$F$28</definedName>
    <definedName name="ASM_EBITDA_Y4">Assumptions!$G$28</definedName>
    <definedName name="ASM_EBITDA_Y5">Assumptions!$H$28</definedName>
    <definedName name="ASM_DA_Y1">Assumptions!$D$30</definedName>
    <definedName name="ASM_DA_Y2">Assumptions!$E$30</definedName>
    <definedName name="ASM_DA_Y3">Assumptions!$F$30</definedName>
    <definedName name="ASM_DA_Y4">Assumptions!$G$30</definedName>
    <definedName name="ASM_DA_Y5">Assumptions!$H$30</definedName>
    <definedName name="ASM_EBIT_Y1">Assumptions!$D$31</definedName>
    <definedName name="ASM_EBIT_Y2">Assumptions!$E$31</definedName>
    <definedName name="ASM_EBIT_Y3">Assumptions!$F$31</definedName>
    <definedName name="ASM_EBIT_Y4">Assumptions!$G$31</definedName>
    <definedName name="ASM_EBIT_Y5">Assumptions!$H$31</definedName>
    <definedName name="ASM_CAPEX_Y1">Assumptions!$D$33</definedName>
    <definedName name="ASM_CAPEX_Y2">Assumptions!$E$33</definedName>
    <definedName name="ASM_CAPEX_Y3">Assumptions!$F$33</definedName>
    <definedName name="ASM_CAPEX_Y4">Assumptions!$G$33</definedName>
    <definedName name="ASM_CAPEX_Y5">Assumptions!$H$33</definedName>
    <definedName name="ASM_NWC_Y1">Assumptions!$D$34</definedName>
    <definedName name="ASM_NWC_Y2">Assumptions!$E$34</definedName>
    <definedName name="ASM_NWC_Y3">Assumptions!$F$34</definedName>
    <definedName name="ASM_NWC_Y4">Assumptions!$G$34</definedName>
    <definedName name="ASM_NWC_Y5">Assumptions!$H$34</definedName>
    <definedName name="ASM_TAX_Y1">Assumptions!$D$35</definedName>
    <definedName name="ASM_TAX_Y2">Assumptions!$E$35</definedName>
    <definedName name="ASM_TAX_Y3">Assumptions!$F$35</definedName>
    <definedName name="ASM_TAX_Y4">Assumptions!$G$35</definedName>
    <definedName name="ASM_TAX_Y5">Assumptions!$H$35</definedName>
    <definedName name="ASM_MARGIN_Y1">Assumptions!$D$38</definedName>
    <definedName name="ASM_MARGIN_Y2">Assumptions!$E$38</definedName>
    <definedName name="ASM_MARGIN_Y3">Assumptions!$F$38</definedName>
    <definedName name="ASM_MARGIN_Y4">Assumptions!$G$38</definedName>
    <definedName name="ASM_MARGIN_Y5">Assumptions!$H$38</definedName>
  </definedNames>
  <calcPr calcId="171027" fullCalcOnLoad="1"/>
</workbook>
</file>

<file path=xl/sharedStrings.xml><?xml version="1.0" encoding="utf-8"?>
<sst xmlns="http://schemas.openxmlformats.org/spreadsheetml/2006/main" count="249" uniqueCount="187">
  <si>
    <t>LBO MODEL — ASSUMPTIONS</t>
  </si>
  <si>
    <t>Yellow + Blue font = hard-coded input (you must fill these)   Black = same-sheet formula   Green = linked from another sheet   Purple = external file link</t>
  </si>
  <si>
    <t>LTM EBITDA ($M)  [links to Block 3 — enter value there]</t>
  </si>
  <si>
    <t>Entry EV / EBITDA Multiple (x)</t>
  </si>
  <si>
    <t>Entry Enterprise Value ($M)  [= LTM EBITDA × Multiple]</t>
  </si>
  <si>
    <t>Transaction Fees (% of EV)</t>
  </si>
  <si>
    <t>Financing Fees (% of Total Debt)</t>
  </si>
  <si>
    <t>Management Rollover (% of Equity)</t>
  </si>
  <si>
    <t>2.  DEBT STRUCTURE</t>
  </si>
  <si>
    <t>Tranche</t>
  </si>
  <si>
    <t>% of EV</t>
  </si>
  <si>
    <t>$ Amount ($M)</t>
  </si>
  <si>
    <t>Interest Rate</t>
  </si>
  <si>
    <t>Cash Amort %/yr</t>
  </si>
  <si>
    <t>PIK Rate</t>
  </si>
  <si>
    <t>Revolving Credit (capacity, undrawn)</t>
  </si>
  <si>
    <t>Term Loan B</t>
  </si>
  <si>
    <t>Senior Secured Notes</t>
  </si>
  <si>
    <t>Mezzanine</t>
  </si>
  <si>
    <t>Total Drawn Debt</t>
  </si>
  <si>
    <t>Sponsor Equity (plug)</t>
  </si>
  <si>
    <t>3.  OPERATING ASSUMPTIONS</t>
  </si>
  <si>
    <t>SECTION A  —  LTM actuals in $M (yellow = enter here)  +  Year 1-5 auto-projected</t>
  </si>
  <si>
    <t>LTM</t>
  </si>
  <si>
    <t>Year 1</t>
  </si>
  <si>
    <t>Year 2</t>
  </si>
  <si>
    <t>Year 3</t>
  </si>
  <si>
    <t>Year 4</t>
  </si>
  <si>
    <t>Year 5</t>
  </si>
  <si>
    <t>Revenue  ($M)</t>
  </si>
  <si>
    <t>EBITDA  ($M)</t>
  </si>
  <si>
    <t>D&amp;A  ($M)</t>
  </si>
  <si>
    <t>EBIT  ($M)  [= EBITDA − D&amp;A]</t>
  </si>
  <si>
    <t>CapEx  ($M)</t>
  </si>
  <si>
    <t>Change in NWC  ($M)</t>
  </si>
  <si>
    <t>Tax Rate  (%)  [external: set by legislation — must be input]</t>
  </si>
  <si>
    <t>SECTION B  —  Derived % ratios (black = same-sheet formula)</t>
  </si>
  <si>
    <t>EBITDA Margin  (%)  [LTM = actual; Y1-5 = LTM + cumulative expansion]</t>
  </si>
  <si>
    <t>D&amp;A  (% of Revenue)  [constant = LTM ratio applied to all years]</t>
  </si>
  <si>
    <t>EBIT Margin  (%)</t>
  </si>
  <si>
    <t>CapEx  (% of Revenue)  [constant = LTM ratio]</t>
  </si>
  <si>
    <t>NWC Change  (% of Revenue)  [constant = LTM ratio]</t>
  </si>
  <si>
    <t>SECTION C  —  Forward growth drivers (yellow cells drive all of Section A Years 1-5)</t>
  </si>
  <si>
    <t>Revenue Growth Rate  (%/year)</t>
  </si>
  <si>
    <t>n/a</t>
  </si>
  <si>
    <t>Annual EBITDA Margin Improvement  (%/yr)  [0 = flat | 0.005 = +50bps/yr | drives row 38]</t>
  </si>
  <si>
    <t>4.  EXIT ASSUMPTIONS</t>
  </si>
  <si>
    <t>Exit Year (1-5)</t>
  </si>
  <si>
    <t>Exit EV / EBITDA Multiple (x)</t>
  </si>
  <si>
    <t>Exit Fee (% of Exit EV)</t>
  </si>
  <si>
    <t>5.  BALANCE SHEET OPENING BALANCES AT CLOSE</t>
  </si>
  <si>
    <t>These are the target company's asset balances on Day 1 of ownership</t>
  </si>
  <si>
    <t>Opening PP&amp;E Balance ($M)  [default = D&amp;A × 4]</t>
  </si>
  <si>
    <t>Opening NWC Balance ($M)  [default = Revenue × 15%]</t>
  </si>
  <si>
    <t>SOURCES &amp; USES</t>
  </si>
  <si>
    <t xml:space="preserve">Transaction financing at close  |  Sources must equal Uses  |  </t>
  </si>
  <si>
    <t>Amount  ($M)</t>
  </si>
  <si>
    <t>% of Total</t>
  </si>
  <si>
    <t>SOURCES  —  Where the money comes from</t>
  </si>
  <si>
    <t>Debt</t>
  </si>
  <si>
    <t>Term Loan B  (senior, floating rate, ~1% annual amortisation)</t>
  </si>
  <si>
    <t>Senior Secured Notes  (fixed rate, bullet maturity)</t>
  </si>
  <si>
    <t>Mezzanine  (junior debt, highest rate, partial PIK)</t>
  </si>
  <si>
    <t>Total Debt</t>
  </si>
  <si>
    <t>Equity</t>
  </si>
  <si>
    <t>Sponsor Equity  (PE fund cash contribution)</t>
  </si>
  <si>
    <t>Management Rollover  (non-cash — existing equity retained by mgmt)</t>
  </si>
  <si>
    <t>Total Equity</t>
  </si>
  <si>
    <t>TOTAL SOURCES</t>
  </si>
  <si>
    <t>USES  —  Where the money goes</t>
  </si>
  <si>
    <t>Transaction Costs</t>
  </si>
  <si>
    <t>Purchase Price  (= Entry Enterprise Value)</t>
  </si>
  <si>
    <t>Transaction Fees  (advisory, legal, accounting)</t>
  </si>
  <si>
    <t>Financing Fees  (debt arrangement, OID, syndication)</t>
  </si>
  <si>
    <t>TOTAL USES</t>
  </si>
  <si>
    <t>CHECK: Sources − Uses  (must = $0.0)</t>
  </si>
  <si>
    <t>KEY LEVERAGE METRICS AT CLOSE</t>
  </si>
  <si>
    <t>Total Debt / LTM EBITDA  (Leverage Ratio)</t>
  </si>
  <si>
    <t>Typical range: 4.5x – 6.5x</t>
  </si>
  <si>
    <t>Total Equity / Entry EV  (Equity Contribution)</t>
  </si>
  <si>
    <t>Typical range: 30% – 45%</t>
  </si>
  <si>
    <t>EBITDA / Interest  (Coverage Ratio, Year 1 approx.)</t>
  </si>
  <si>
    <t>Must be &gt; 2.0x</t>
  </si>
  <si>
    <t>INCOME STATEMENT</t>
  </si>
  <si>
    <t xml:space="preserve">All figures $M  |  Interest from Debt Schedule (Year 1-5)  |  </t>
  </si>
  <si>
    <t>PROJECTED INCOME STATEMENT  ($M)</t>
  </si>
  <si>
    <t/>
  </si>
  <si>
    <t>Revenue</t>
  </si>
  <si>
    <t xml:space="preserve">   YoY Growth</t>
  </si>
  <si>
    <t>—</t>
  </si>
  <si>
    <t>EBITDA</t>
  </si>
  <si>
    <t xml:space="preserve">   EBITDA Margin</t>
  </si>
  <si>
    <t>Depreciation &amp; Amortisation  (D&amp;A)</t>
  </si>
  <si>
    <t>EBIT  (Operating Profit)</t>
  </si>
  <si>
    <t xml:space="preserve">   EBIT Margin</t>
  </si>
  <si>
    <t>Interest Expense  (LTM = simplified  |  Year 1-5 = from Debt Schedule)</t>
  </si>
  <si>
    <t xml:space="preserve">   Interest — Term Loan B</t>
  </si>
  <si>
    <t xml:space="preserve">   Interest — Senior Secured Notes</t>
  </si>
  <si>
    <t xml:space="preserve">   Interest — Mezzanine  (cash + PIK = full P&amp;L charge)</t>
  </si>
  <si>
    <t>Total Interest Expense</t>
  </si>
  <si>
    <t>EBT  (Earnings Before Tax)</t>
  </si>
  <si>
    <t>Tax Expense</t>
  </si>
  <si>
    <t>NET INCOME</t>
  </si>
  <si>
    <t xml:space="preserve">   Net Income Margin</t>
  </si>
  <si>
    <t>DEBT SCHEDULE</t>
  </si>
  <si>
    <t xml:space="preserve">Tracks balance, amortisation, cash sweep and interest for all tranches  |  </t>
  </si>
  <si>
    <t>DEBT SCHEDULE  ($M)</t>
  </si>
  <si>
    <t>Year 0  (close)</t>
  </si>
  <si>
    <t>TERM LOAN B</t>
  </si>
  <si>
    <t>Beginning Balance</t>
  </si>
  <si>
    <t>(-) Mandatory Amortisation</t>
  </si>
  <si>
    <t>(-) Optional Paydown  (cash sweep — FIRST priority in waterfall)</t>
  </si>
  <si>
    <t>Ending Balance</t>
  </si>
  <si>
    <t>Cash Interest  (= Beginning Balance × Rate)</t>
  </si>
  <si>
    <t>SENIOR SECURED NOTES</t>
  </si>
  <si>
    <t>(-) Mandatory Amortisation  (none — bullet bond, repaid at maturity)</t>
  </si>
  <si>
    <t>(-) Optional Paydown  (SECOND priority — remainder after TLB)</t>
  </si>
  <si>
    <t>MEZZANINE</t>
  </si>
  <si>
    <t>(+) PIK Accrual  (non-cash — accretes to principal balance)</t>
  </si>
  <si>
    <t>(-) Optional Paydown  (THIRD priority — remainder after TLB and SSN)</t>
  </si>
  <si>
    <t>Cash Interest  (= Beginning × (Total Rate − PIK Rate))</t>
  </si>
  <si>
    <t>PIK Interest  (non-cash — same as PIK accrual above)</t>
  </si>
  <si>
    <t>SUMMARY</t>
  </si>
  <si>
    <t>Total Debt  (ending balance)</t>
  </si>
  <si>
    <t>Total Cash Interest  [→ used by Cash Flow and IS]</t>
  </si>
  <si>
    <t>Total PIK Interest  (non-cash)</t>
  </si>
  <si>
    <t>Total Interest  (cash + PIK)</t>
  </si>
  <si>
    <t>Total Mandatory Amortisation  [→ used by Cash Flow]</t>
  </si>
  <si>
    <t>CASH FLOW STATEMENT</t>
  </si>
  <si>
    <t xml:space="preserve">EBITDA → Operating FCF → debt service → ending cash balance  |  </t>
  </si>
  <si>
    <t>FREE CASH FLOW  ($M)</t>
  </si>
  <si>
    <t>Year 0</t>
  </si>
  <si>
    <t>← deal close</t>
  </si>
  <si>
    <t>(-) Cash Interest Expense  [from Debt Schedule — actual declining balances]</t>
  </si>
  <si>
    <t>(-) Cash Taxes  [= MAX((EBITDA − D&amp;A − Total Interest incl. PIK) × Rate, 0)]</t>
  </si>
  <si>
    <t>(-) Capital Expenditure  (CapEx)</t>
  </si>
  <si>
    <t>(-) Increase in Net Working Capital  (NWC)</t>
  </si>
  <si>
    <t>Operating Free Cash Flow</t>
  </si>
  <si>
    <t>(-) Mandatory Debt Amortisation  [from Debt Schedule]</t>
  </si>
  <si>
    <t>Cash Available for Optional Debt Sweep  [⬅ Debt Schedule reads this row]</t>
  </si>
  <si>
    <t>(-) Optional Cash Sweep  [sum from Debt Schedule: TLB + SSN + MEZ]</t>
  </si>
  <si>
    <t>Net Cash Retained on Balance Sheet</t>
  </si>
  <si>
    <t>Beginning Cash Balance</t>
  </si>
  <si>
    <t>Ending Cash Balance</t>
  </si>
  <si>
    <t>BALANCE SHEET</t>
  </si>
  <si>
    <t xml:space="preserve">Year 0 = deal close  |  CHECK row must show exactly 0.0 every year  |  </t>
  </si>
  <si>
    <t>BALANCE SHEET  ($M)</t>
  </si>
  <si>
    <t>ASSETS</t>
  </si>
  <si>
    <t>Cash  ($M)</t>
  </si>
  <si>
    <t>Net Working Capital  ($M)</t>
  </si>
  <si>
    <t>PP&amp;E  (net book value, $M)</t>
  </si>
  <si>
    <t>Goodwill  ($M)  [= EV×(1+fee%) − NWC − PP&amp;E, constant]</t>
  </si>
  <si>
    <t>Deferred Financing Costs  ($M)  [simplified: held constant]</t>
  </si>
  <si>
    <t>TOTAL ASSETS</t>
  </si>
  <si>
    <t>LIABILITIES</t>
  </si>
  <si>
    <t>Mezzanine  (includes PIK accrual each year)</t>
  </si>
  <si>
    <t>EQUITY</t>
  </si>
  <si>
    <t>Initial Equity Invested  (constant)</t>
  </si>
  <si>
    <t>Retained Earnings  (cumulative Net Income from IS)</t>
  </si>
  <si>
    <t>TOTAL EQUITY</t>
  </si>
  <si>
    <t>Total Liabilities + Equity</t>
  </si>
  <si>
    <t>CHECK  Assets − (L + E)  →  must = 0.0 every year</t>
  </si>
  <si>
    <t>RETURNS ANALYSIS</t>
  </si>
  <si>
    <t xml:space="preserve">Exit equity, MOIC, IRR  |  Sensitivity: entry multiple vs exit multiple  |  </t>
  </si>
  <si>
    <t>EXIT RETURNS SUMMARY</t>
  </si>
  <si>
    <t>Entry Equity Invested  ($M)  [from Sources &amp; Uses]</t>
  </si>
  <si>
    <t>Exit Year  [from Assumptions]</t>
  </si>
  <si>
    <t>Exit EBITDA  ($M)  [INDEX from Assumptions Y1-5]</t>
  </si>
  <si>
    <t>Exit EV / EBITDA Multiple  (×)  [from Assumptions]</t>
  </si>
  <si>
    <t>Exit Enterprise Value  ($M)  [= Exit EBITDA × Exit Multiple]</t>
  </si>
  <si>
    <t>(-) Exit Total Debt  ($M)  [INDEX from Debt Schedule]</t>
  </si>
  <si>
    <t>(+) Exit Cash Balance  ($M)  [INDEX from Cash Flow]</t>
  </si>
  <si>
    <t>(-) Exit Fee  ($M)  [= Exit EV × Exit Fee %]</t>
  </si>
  <si>
    <t>Exit Equity  ($M)  [= EV − Fee − Debt + Cash]</t>
  </si>
  <si>
    <t>MOIC  (Multiple on Invested Capital)</t>
  </si>
  <si>
    <t>IRR  (Internal Rate of Return)</t>
  </si>
  <si>
    <t>IRR HELPER CASH FLOWS  (Year 0 = equity in; exit year = equity out)</t>
  </si>
  <si>
    <t>Year 0:  −Entry Equity  (fund invests)</t>
  </si>
  <si>
    <t>Year 1:  + Exit Equity  (only if exit year = 1)</t>
  </si>
  <si>
    <t>Year 2:  + Exit Equity  (only if exit year = 2)</t>
  </si>
  <si>
    <t>Year 3:  + Exit Equity  (only if exit year = 3)</t>
  </si>
  <si>
    <t>Year 4:  + Exit Equity  (only if exit year = 4)</t>
  </si>
  <si>
    <t>Year 5:  + Exit Equity  (only if exit year = 5)</t>
  </si>
  <si>
    <t>IRR SENSITIVITY  (%)  |  Entry Multiple ↓  vs  Exit Multiple →</t>
  </si>
  <si>
    <t>Debt held constant  |  Orange = base case  |  All else equal — only multiples vary</t>
  </si>
  <si>
    <t>Entry ↓ / Exit →</t>
  </si>
  <si>
    <t>MOIC SENSITIVITY  (×)  |  Entry Multiple ↓  vs  Exit Multiple 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</si>
</sst>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"/>
    <numFmt numFmtId="165" formatCode="0.0&quot;x&quot;"/>
    <numFmt numFmtId="166" formatCode="0.0%"/>
    <numFmt numFmtId="167" formatCode="0&quot;×&quot;"/>
  </numFmts>
  <fonts count="18" x14ac:knownFonts="1">
    <font>
      <color theme="1"/>
      <family val="2"/>
      <scheme val="minor"/>
      <sz val="11"/>
      <name val="Calibri"/>
    </font>
    <font>
      <b/>
      <color rgb="FF1F4E79"/>
      <sz val="14"/>
      <name val="Calibri"/>
    </font>
    <font>
      <i/>
      <color rgb="FF808080"/>
      <sz val="9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0070C0"/>
      <sz val="10"/>
      <name val="Calibri"/>
    </font>
    <font>
      <b/>
      <color rgb="FFFFFFFF"/>
      <sz val="11"/>
      <name val="Calibri"/>
    </font>
    <font>
      <i/>
      <color rgb="FF1F4E79"/>
      <sz val="9"/>
      <name val="Calibri"/>
    </font>
    <font>
      <i/>
      <color rgb="FFCC0000"/>
      <sz val="9"/>
      <name val="Calibri"/>
    </font>
    <font>
      <i/>
      <color rgb="FF909090"/>
      <sz val="9"/>
      <name val="Calibri"/>
    </font>
    <font>
      <i/>
      <color rgb="FF606060"/>
      <sz val="9"/>
      <name val="Calibri"/>
    </font>
    <font>
      <b/>
      <i/>
      <color rgb="FF404040"/>
      <sz val="10"/>
      <name val="Calibri"/>
    </font>
    <font>
      <color rgb="FF00B050"/>
      <sz val="10"/>
      <name val="Calibri"/>
    </font>
    <font>
      <b/>
      <color rgb="FF00B050"/>
      <sz val="10"/>
      <name val="Calibri"/>
    </font>
    <font>
      <b/>
      <color rgb="FFCC0000"/>
      <sz val="10"/>
      <name val="Calibri"/>
    </font>
    <font>
      <i/>
      <color rgb="FF707070"/>
      <sz val="9"/>
      <name val="Calibri"/>
    </font>
    <font>
      <i/>
      <color rgb="FF606060"/>
      <sz val="10"/>
      <name val="Calibri"/>
    </font>
    <font>
      <i/>
      <color rgb="FF404040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D9D9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 style="medium">
        <color rgb="FF404040"/>
      </top>
      <bottom style="medium">
        <color rgb="FF40404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5" fontId="5" fillId="2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164" fontId="5" fillId="2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left" vertical="center"/>
    </xf>
    <xf numFmtId="166" fontId="4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" fontId="5" fillId="2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4" fontId="12" fillId="0" borderId="0" xfId="0" applyNumberFormat="1" applyFont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166" fontId="13" fillId="5" borderId="1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165" fontId="13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166" fontId="13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1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5" fontId="3" fillId="6" borderId="0" xfId="0" applyNumberFormat="1" applyFont="1" applyFill="1" applyAlignment="1">
      <alignment horizontal="right" vertical="center"/>
    </xf>
    <xf numFmtId="166" fontId="3" fillId="6" borderId="0" xfId="0" applyNumberFormat="1" applyFont="1" applyFill="1" applyAlignment="1">
      <alignment horizontal="right" vertical="center"/>
    </xf>
    <xf numFmtId="0" fontId="17" fillId="0" borderId="0" xfId="0" applyFont="1" applyAlignment="1">
      <alignment horizontal="left" vertical="center"/>
    </xf>
    <xf numFmtId="167" fontId="3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9"/>
  <sheetFormatPr defaultRowHeight="15" outlineLevelRow="0" outlineLevelCol="0" x14ac:dyDescent="55"/>
  <cols>
    <col min="1" max="1" width="2" customWidth="1"/>
    <col min="2" max="2" width="45" customWidth="1"/>
    <col min="3" max="3" width="16" customWidth="1"/>
    <col min="4" max="8" width="14" customWidth="1"/>
  </cols>
  <sheetData>
    <row r="1" spans="2:2" x14ac:dyDescent="0.25">
      <c r="B1" s="1" t="s">
        <v>0</v>
      </c>
    </row>
    <row r="2" spans="2:2" x14ac:dyDescent="0.25">
      <c r="B2" s="2" t="s">
        <v>1</v>
      </c>
    </row>
    <row r="5" spans="2:3" x14ac:dyDescent="0.25">
      <c r="B5" s="3" t="s">
        <v>2</v>
      </c>
      <c r="C5" s="4">
        <f>$C$28</f>
      </c>
    </row>
    <row r="6" spans="2:3" x14ac:dyDescent="0.25">
      <c r="B6" s="5" t="s">
        <v>3</v>
      </c>
      <c r="C6" s="6">
        <v>10</v>
      </c>
    </row>
    <row r="7" spans="2:3" x14ac:dyDescent="0.25">
      <c r="B7" s="3" t="s">
        <v>4</v>
      </c>
      <c r="C7" s="4">
        <f>$C$5*$C$6</f>
      </c>
    </row>
    <row r="8" spans="2:3" x14ac:dyDescent="0.25">
      <c r="B8" s="5" t="s">
        <v>5</v>
      </c>
      <c r="C8" s="7">
        <v>0.02</v>
      </c>
    </row>
    <row r="9" spans="2:3" x14ac:dyDescent="0.25">
      <c r="B9" s="5" t="s">
        <v>6</v>
      </c>
      <c r="C9" s="7">
        <v>0.015</v>
      </c>
    </row>
    <row r="10" spans="2:3" x14ac:dyDescent="0.25">
      <c r="B10" s="5" t="s">
        <v>7</v>
      </c>
      <c r="C10" s="7">
        <v>0.1</v>
      </c>
    </row>
    <row r="12" spans="2:7" x14ac:dyDescent="0.25">
      <c r="B12" s="8" t="s">
        <v>8</v>
      </c>
      <c r="C12" s="8"/>
      <c r="D12" s="8"/>
      <c r="E12" s="8"/>
      <c r="F12" s="8"/>
      <c r="G12" s="8"/>
    </row>
    <row r="13" spans="2:7" x14ac:dyDescent="0.25">
      <c r="B13" s="9" t="s">
        <v>9</v>
      </c>
      <c r="C13" s="9" t="s">
        <v>10</v>
      </c>
      <c r="D13" s="9" t="s">
        <v>11</v>
      </c>
      <c r="E13" s="9" t="s">
        <v>12</v>
      </c>
      <c r="F13" s="9" t="s">
        <v>13</v>
      </c>
      <c r="G13" s="9" t="s">
        <v>14</v>
      </c>
    </row>
    <row r="14" spans="2:7" x14ac:dyDescent="0.25">
      <c r="B14" s="5" t="s">
        <v>15</v>
      </c>
      <c r="C14" s="7">
        <v>0.1</v>
      </c>
      <c r="D14" s="10">
        <f>$C$14*$C$7</f>
      </c>
      <c r="E14" s="7">
        <v>0.045</v>
      </c>
      <c r="F14" s="7">
        <v>0</v>
      </c>
      <c r="G14" s="7">
        <v>0</v>
      </c>
    </row>
    <row r="15" spans="2:7" x14ac:dyDescent="0.25">
      <c r="B15" s="5" t="s">
        <v>16</v>
      </c>
      <c r="C15" s="7">
        <v>0.35</v>
      </c>
      <c r="D15" s="10">
        <f>$C$15*$C$7</f>
      </c>
      <c r="E15" s="7">
        <v>0.055</v>
      </c>
      <c r="F15" s="7">
        <v>0.01</v>
      </c>
      <c r="G15" s="7">
        <v>0</v>
      </c>
    </row>
    <row r="16" spans="2:7" x14ac:dyDescent="0.25">
      <c r="B16" s="5" t="s">
        <v>17</v>
      </c>
      <c r="C16" s="7">
        <v>0.2</v>
      </c>
      <c r="D16" s="10">
        <f>$C$16*$C$7</f>
      </c>
      <c r="E16" s="7">
        <v>0.065</v>
      </c>
      <c r="F16" s="7">
        <v>0</v>
      </c>
      <c r="G16" s="7">
        <v>0</v>
      </c>
    </row>
    <row r="17" spans="2:7" x14ac:dyDescent="0.25">
      <c r="B17" s="5" t="s">
        <v>18</v>
      </c>
      <c r="C17" s="7">
        <v>0.1</v>
      </c>
      <c r="D17" s="10">
        <f>$C$17*$C$7</f>
      </c>
      <c r="E17" s="7">
        <v>0.09</v>
      </c>
      <c r="F17" s="7">
        <v>0</v>
      </c>
      <c r="G17" s="7">
        <v>0.02</v>
      </c>
    </row>
    <row r="19" spans="2:4" x14ac:dyDescent="0.25">
      <c r="B19" s="11" t="s">
        <v>19</v>
      </c>
      <c r="D19" s="12">
        <f>SUM($D$15:$D$17)</f>
      </c>
    </row>
    <row r="20" spans="2:4" x14ac:dyDescent="0.25">
      <c r="B20" s="5" t="s">
        <v>20</v>
      </c>
      <c r="D20" s="4">
        <f>$C$7*(1+$C$8)-$D$19</f>
      </c>
    </row>
    <row r="23" spans="2:8" x14ac:dyDescent="0.25">
      <c r="B23" s="8" t="s">
        <v>21</v>
      </c>
      <c r="C23" s="8"/>
      <c r="D23" s="8"/>
      <c r="E23" s="8"/>
      <c r="F23" s="8"/>
      <c r="G23" s="8"/>
      <c r="H23" s="8"/>
    </row>
    <row r="24" spans="2:2" x14ac:dyDescent="0.25">
      <c r="B24" s="13" t="s">
        <v>22</v>
      </c>
    </row>
    <row r="26" spans="3:8" x14ac:dyDescent="0.25">
      <c r="C26" s="9" t="s">
        <v>23</v>
      </c>
      <c r="D26" s="9" t="s">
        <v>24</v>
      </c>
      <c r="E26" s="9" t="s">
        <v>25</v>
      </c>
      <c r="F26" s="9" t="s">
        <v>26</v>
      </c>
      <c r="G26" s="9" t="s">
        <v>27</v>
      </c>
      <c r="H26" s="9" t="s">
        <v>28</v>
      </c>
    </row>
    <row r="27" spans="2:8" x14ac:dyDescent="0.25">
      <c r="B27" s="5" t="s">
        <v>29</v>
      </c>
      <c r="C27" s="14">
        <v>400</v>
      </c>
      <c r="D27" s="10">
        <f>$C$27*(1+$D$45)</f>
      </c>
      <c r="E27" s="10">
        <f>$D$27*(1+$E$45)</f>
      </c>
      <c r="F27" s="10">
        <f>$E$27*(1+$F$45)</f>
      </c>
      <c r="G27" s="10">
        <f>$F$27*(1+$G$45)</f>
      </c>
      <c r="H27" s="10">
        <f>$G$27*(1+$H$45)</f>
      </c>
    </row>
    <row r="28" spans="2:8" x14ac:dyDescent="0.25">
      <c r="B28" s="5" t="s">
        <v>30</v>
      </c>
      <c r="C28" s="14">
        <v>100</v>
      </c>
      <c r="D28" s="4">
        <f>$D$27*$D$38</f>
      </c>
      <c r="E28" s="4">
        <f>$E$27*$E$38</f>
      </c>
      <c r="F28" s="4">
        <f>$F$27*$F$38</f>
      </c>
      <c r="G28" s="4">
        <f>$G$27*$G$38</f>
      </c>
      <c r="H28" s="4">
        <f>$H$27*$H$38</f>
      </c>
    </row>
    <row r="30" spans="2:8" x14ac:dyDescent="0.25">
      <c r="B30" s="5" t="s">
        <v>31</v>
      </c>
      <c r="C30" s="14">
        <v>20</v>
      </c>
      <c r="D30" s="10">
        <f>$D$27*$C$39</f>
      </c>
      <c r="E30" s="10">
        <f>$E$27*$C$39</f>
      </c>
      <c r="F30" s="10">
        <f>$F$27*$C$39</f>
      </c>
      <c r="G30" s="10">
        <f>$G$27*$C$39</f>
      </c>
      <c r="H30" s="10">
        <f>$H$27*$C$39</f>
      </c>
    </row>
    <row r="31" spans="2:8" x14ac:dyDescent="0.25">
      <c r="B31" s="3" t="s">
        <v>32</v>
      </c>
      <c r="C31" s="4">
        <f>$C$28-$C$30</f>
      </c>
      <c r="D31" s="4">
        <f>$D$28-$D$30</f>
      </c>
      <c r="E31" s="4">
        <f>$E$28-$E$30</f>
      </c>
      <c r="F31" s="4">
        <f>$F$28-$F$30</f>
      </c>
      <c r="G31" s="4">
        <f>$G$28-$G$30</f>
      </c>
      <c r="H31" s="4">
        <f>$H$28-$H$30</f>
      </c>
    </row>
    <row r="33" spans="2:8" x14ac:dyDescent="0.25">
      <c r="B33" s="5" t="s">
        <v>33</v>
      </c>
      <c r="C33" s="14">
        <v>16</v>
      </c>
      <c r="D33" s="10">
        <f>$D$27*$C$41</f>
      </c>
      <c r="E33" s="10">
        <f>$E$27*$C$41</f>
      </c>
      <c r="F33" s="10">
        <f>$F$27*$C$41</f>
      </c>
      <c r="G33" s="10">
        <f>$G$27*$C$41</f>
      </c>
      <c r="H33" s="10">
        <f>$H$27*$C$41</f>
      </c>
    </row>
    <row r="34" spans="2:8" x14ac:dyDescent="0.25">
      <c r="B34" s="5" t="s">
        <v>34</v>
      </c>
      <c r="C34" s="14">
        <v>8</v>
      </c>
      <c r="D34" s="10">
        <f>$D$27*$C$42</f>
      </c>
      <c r="E34" s="10">
        <f>$E$27*$C$42</f>
      </c>
      <c r="F34" s="10">
        <f>$F$27*$C$42</f>
      </c>
      <c r="G34" s="10">
        <f>$G$27*$C$42</f>
      </c>
      <c r="H34" s="10">
        <f>$H$27*$C$42</f>
      </c>
    </row>
    <row r="35" spans="2:8" x14ac:dyDescent="0.25">
      <c r="B35" s="5" t="s">
        <v>35</v>
      </c>
      <c r="C35" s="7">
        <v>0.25</v>
      </c>
      <c r="D35" s="7">
        <v>0.25</v>
      </c>
      <c r="E35" s="7">
        <v>0.25</v>
      </c>
      <c r="F35" s="7">
        <v>0.25</v>
      </c>
      <c r="G35" s="7">
        <v>0.25</v>
      </c>
      <c r="H35" s="7">
        <v>0.25</v>
      </c>
    </row>
    <row r="37" spans="2:8" x14ac:dyDescent="0.25">
      <c r="B37" s="15" t="s">
        <v>36</v>
      </c>
      <c r="C37" s="9" t="s">
        <v>23</v>
      </c>
      <c r="D37" s="9" t="s">
        <v>24</v>
      </c>
      <c r="E37" s="9" t="s">
        <v>25</v>
      </c>
      <c r="F37" s="9" t="s">
        <v>26</v>
      </c>
      <c r="G37" s="9" t="s">
        <v>27</v>
      </c>
      <c r="H37" s="9" t="s">
        <v>28</v>
      </c>
    </row>
    <row r="38" spans="2:8" x14ac:dyDescent="0.25">
      <c r="B38" s="5" t="s">
        <v>37</v>
      </c>
      <c r="C38" s="16">
        <f>IFERROR($C$28/$C$27,0)</f>
      </c>
      <c r="D38" s="16">
        <f>$C$38+$C$46</f>
      </c>
      <c r="E38" s="16">
        <f>$D$38+$C$46</f>
      </c>
      <c r="F38" s="16">
        <f>$E$38+$C$46</f>
      </c>
      <c r="G38" s="16">
        <f>$F$38+$C$46</f>
      </c>
      <c r="H38" s="16">
        <f>$G$38+$C$46</f>
      </c>
    </row>
    <row r="39" spans="2:8" x14ac:dyDescent="0.25">
      <c r="B39" s="5" t="s">
        <v>38</v>
      </c>
      <c r="C39" s="16">
        <f>IFERROR($C$30/$C$27,0)</f>
      </c>
      <c r="D39" s="16">
        <f>IFERROR($D$30/$D$27,0)</f>
      </c>
      <c r="E39" s="16">
        <f>IFERROR($E$30/$E$27,0)</f>
      </c>
      <c r="F39" s="16">
        <f>IFERROR($F$30/$F$27,0)</f>
      </c>
      <c r="G39" s="16">
        <f>IFERROR($G$30/$G$27,0)</f>
      </c>
      <c r="H39" s="16">
        <f>IFERROR($H$30/$H$27,0)</f>
      </c>
    </row>
    <row r="40" spans="2:8" x14ac:dyDescent="0.25">
      <c r="B40" s="5" t="s">
        <v>39</v>
      </c>
      <c r="C40" s="16">
        <f>IFERROR($C$31/$C$27,0)</f>
      </c>
      <c r="D40" s="16">
        <f>IFERROR($D$31/$D$27,0)</f>
      </c>
      <c r="E40" s="16">
        <f>IFERROR($E$31/$E$27,0)</f>
      </c>
      <c r="F40" s="16">
        <f>IFERROR($F$31/$F$27,0)</f>
      </c>
      <c r="G40" s="16">
        <f>IFERROR($G$31/$G$27,0)</f>
      </c>
      <c r="H40" s="16">
        <f>IFERROR($H$31/$H$27,0)</f>
      </c>
    </row>
    <row r="41" spans="2:8" x14ac:dyDescent="0.25">
      <c r="B41" s="5" t="s">
        <v>40</v>
      </c>
      <c r="C41" s="16">
        <f>IFERROR($C$33/$C$27,0)</f>
      </c>
      <c r="D41" s="16">
        <f>IFERROR($D$33/$D$27,0)</f>
      </c>
      <c r="E41" s="16">
        <f>IFERROR($E$33/$E$27,0)</f>
      </c>
      <c r="F41" s="16">
        <f>IFERROR($F$33/$F$27,0)</f>
      </c>
      <c r="G41" s="16">
        <f>IFERROR($G$33/$G$27,0)</f>
      </c>
      <c r="H41" s="16">
        <f>IFERROR($H$33/$H$27,0)</f>
      </c>
    </row>
    <row r="42" spans="2:8" x14ac:dyDescent="0.25">
      <c r="B42" s="5" t="s">
        <v>41</v>
      </c>
      <c r="C42" s="16">
        <f>IFERROR($C$34/$C$27,0)</f>
      </c>
      <c r="D42" s="16">
        <f>IFERROR($D$34/$D$27,0)</f>
      </c>
      <c r="E42" s="16">
        <f>IFERROR($E$34/$E$27,0)</f>
      </c>
      <c r="F42" s="16">
        <f>IFERROR($F$34/$F$27,0)</f>
      </c>
      <c r="G42" s="16">
        <f>IFERROR($G$34/$G$27,0)</f>
      </c>
      <c r="H42" s="16">
        <f>IFERROR($H$34/$H$27,0)</f>
      </c>
    </row>
    <row r="44" spans="2:8" x14ac:dyDescent="0.25">
      <c r="B44" s="13" t="s">
        <v>42</v>
      </c>
      <c r="C44" s="9" t="s">
        <v>23</v>
      </c>
      <c r="D44" s="9" t="s">
        <v>24</v>
      </c>
      <c r="E44" s="9" t="s">
        <v>25</v>
      </c>
      <c r="F44" s="9" t="s">
        <v>26</v>
      </c>
      <c r="G44" s="9" t="s">
        <v>27</v>
      </c>
      <c r="H44" s="9" t="s">
        <v>28</v>
      </c>
    </row>
    <row r="45" spans="2:8" x14ac:dyDescent="0.25">
      <c r="B45" s="5" t="s">
        <v>43</v>
      </c>
      <c r="C45" s="17" t="s">
        <v>44</v>
      </c>
      <c r="D45" s="7">
        <v>0.05</v>
      </c>
      <c r="E45" s="7">
        <v>0.05</v>
      </c>
      <c r="F45" s="7">
        <v>0.05</v>
      </c>
      <c r="G45" s="7">
        <v>0.05</v>
      </c>
      <c r="H45" s="7">
        <v>0.05</v>
      </c>
    </row>
    <row r="46" spans="2:3" x14ac:dyDescent="0.25">
      <c r="B46" s="5" t="s">
        <v>45</v>
      </c>
      <c r="C46" s="7">
        <v>0.005</v>
      </c>
    </row>
    <row r="48" spans="2:5" x14ac:dyDescent="0.25">
      <c r="B48" s="8" t="s">
        <v>46</v>
      </c>
      <c r="C48" s="8"/>
      <c r="D48" s="8"/>
      <c r="E48" s="8"/>
    </row>
    <row r="50" spans="2:3" x14ac:dyDescent="0.25">
      <c r="B50" s="5" t="s">
        <v>47</v>
      </c>
      <c r="C50" s="18">
        <v>5</v>
      </c>
    </row>
    <row r="51" spans="2:3" x14ac:dyDescent="0.25">
      <c r="B51" s="5" t="s">
        <v>48</v>
      </c>
      <c r="C51" s="6">
        <v>11</v>
      </c>
    </row>
    <row r="52" spans="2:3" x14ac:dyDescent="0.25">
      <c r="B52" s="5" t="s">
        <v>49</v>
      </c>
      <c r="C52" s="7">
        <v>0.015</v>
      </c>
    </row>
    <row r="56" spans="2:6" x14ac:dyDescent="0.25">
      <c r="B56" s="8" t="s">
        <v>50</v>
      </c>
      <c r="C56" s="8"/>
      <c r="D56" s="8"/>
      <c r="E56" s="8"/>
      <c r="F56" s="8"/>
    </row>
    <row r="57" spans="2:2" x14ac:dyDescent="0.25">
      <c r="B57" s="19" t="s">
        <v>51</v>
      </c>
    </row>
    <row r="58" spans="2:3" x14ac:dyDescent="0.25">
      <c r="B58" s="5" t="s">
        <v>52</v>
      </c>
      <c r="C58" s="14">
        <v>80</v>
      </c>
    </row>
    <row r="59" spans="2:3" x14ac:dyDescent="0.25">
      <c r="B59" s="5" t="s">
        <v>53</v>
      </c>
      <c r="C59" s="14">
        <v>60</v>
      </c>
    </row>
  </sheetData>
  <mergeCells count="4">
    <mergeCell ref="B12:G12"/>
    <mergeCell ref="B23:H23"/>
    <mergeCell ref="B48:E48"/>
    <mergeCell ref="B56:F5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8"/>
  <sheetFormatPr defaultRowHeight="15" outlineLevelRow="0" outlineLevelCol="0" x14ac:dyDescent="55"/>
  <cols>
    <col min="1" max="1" width="2" customWidth="1"/>
    <col min="2" max="2" width="45" customWidth="1"/>
    <col min="3" max="3" width="16" customWidth="1"/>
    <col min="4" max="5" width="14" customWidth="1"/>
  </cols>
  <sheetData>
    <row r="1" spans="2:2" x14ac:dyDescent="0.25">
      <c r="B1" s="1" t="s">
        <v>54</v>
      </c>
    </row>
    <row r="2" spans="2:2" x14ac:dyDescent="0.25">
      <c r="B2" s="2" t="s">
        <v>55</v>
      </c>
    </row>
    <row r="3" spans="3:5" x14ac:dyDescent="0.25">
      <c r="C3" s="9" t="s">
        <v>56</v>
      </c>
      <c r="D3" s="9" t="s">
        <v>57</v>
      </c>
      <c r="E3" s="9" t="s">
        <v>10</v>
      </c>
    </row>
    <row r="4" spans="2:5" x14ac:dyDescent="0.25">
      <c r="B4" s="8" t="s">
        <v>58</v>
      </c>
      <c r="C4" s="8"/>
      <c r="D4" s="8"/>
      <c r="E4" s="8"/>
    </row>
    <row r="5" spans="2:2" x14ac:dyDescent="0.25">
      <c r="B5" s="20" t="s">
        <v>59</v>
      </c>
    </row>
    <row r="6" spans="2:5" x14ac:dyDescent="0.25">
      <c r="B6" s="5" t="s">
        <v>60</v>
      </c>
      <c r="C6" s="21">
        <f>Assumptions!$D$15</f>
      </c>
      <c r="D6" s="16">
        <f>$C$6/$C$14</f>
      </c>
      <c r="E6" s="22">
        <f>$C$6/Assumptions!$C$7</f>
      </c>
    </row>
    <row r="7" spans="2:5" x14ac:dyDescent="0.25">
      <c r="B7" s="5" t="s">
        <v>61</v>
      </c>
      <c r="C7" s="21">
        <f>Assumptions!$D$16</f>
      </c>
      <c r="D7" s="16">
        <f>$C$7/$C$14</f>
      </c>
      <c r="E7" s="22">
        <f>$C$7/Assumptions!$C$7</f>
      </c>
    </row>
    <row r="8" spans="2:5" x14ac:dyDescent="0.25">
      <c r="B8" s="5" t="s">
        <v>62</v>
      </c>
      <c r="C8" s="21">
        <f>Assumptions!$D$17</f>
      </c>
      <c r="D8" s="16">
        <f>$C$8/$C$14</f>
      </c>
      <c r="E8" s="22">
        <f>$C$8/Assumptions!$C$7</f>
      </c>
    </row>
    <row r="9" spans="2:5" x14ac:dyDescent="0.25">
      <c r="B9" s="11" t="s">
        <v>63</v>
      </c>
      <c r="C9" s="12">
        <f>SUM($C$6:$C$8)</f>
      </c>
      <c r="D9" s="23">
        <f>$C$9/$C$14</f>
      </c>
      <c r="E9" s="24">
        <f>$C$9/Assumptions!$C$7</f>
      </c>
    </row>
    <row r="10" spans="2:2" x14ac:dyDescent="0.25">
      <c r="B10" s="20" t="s">
        <v>64</v>
      </c>
    </row>
    <row r="11" spans="2:5" x14ac:dyDescent="0.25">
      <c r="B11" s="5" t="s">
        <v>65</v>
      </c>
      <c r="C11" s="21">
        <f>(Assumptions!$C$7*(1+Assumptions!$C$8)+$C$9*Assumptions!$C$9-$C$9)*(1-Assumptions!$C$10)</f>
      </c>
      <c r="D11" s="16">
        <f>$C$11/$C$14</f>
      </c>
      <c r="E11" s="22">
        <f>$C$11/Assumptions!$C$7</f>
      </c>
    </row>
    <row r="12" spans="2:5" x14ac:dyDescent="0.25">
      <c r="B12" s="5" t="s">
        <v>66</v>
      </c>
      <c r="C12" s="21">
        <f>(Assumptions!$C$7*(1+Assumptions!$C$8)+$C$9*Assumptions!$C$9-$C$9)*Assumptions!$C$10</f>
      </c>
      <c r="D12" s="16">
        <f>$C$12/$C$14</f>
      </c>
      <c r="E12" s="22">
        <f>$C$12/Assumptions!$C$7</f>
      </c>
    </row>
    <row r="13" spans="2:5" x14ac:dyDescent="0.25">
      <c r="B13" s="11" t="s">
        <v>67</v>
      </c>
      <c r="C13" s="12">
        <f>$C$11+$C$12</f>
      </c>
      <c r="D13" s="23">
        <f>$C$13/$C$14</f>
      </c>
      <c r="E13" s="24">
        <f>$C$13/Assumptions!$C$7</f>
      </c>
    </row>
    <row r="14" spans="2:5" x14ac:dyDescent="0.25">
      <c r="B14" s="11" t="s">
        <v>68</v>
      </c>
      <c r="C14" s="12">
        <f>$C$9+$C$13</f>
      </c>
      <c r="D14" s="23">
        <f>$C$14/$C$14</f>
      </c>
      <c r="E14" s="24">
        <f>$C$14/Assumptions!$C$7</f>
      </c>
    </row>
    <row r="16" spans="2:5" x14ac:dyDescent="0.25">
      <c r="B16" s="8" t="s">
        <v>69</v>
      </c>
      <c r="C16" s="8"/>
      <c r="D16" s="8"/>
      <c r="E16" s="8"/>
    </row>
    <row r="17" spans="2:2" x14ac:dyDescent="0.25">
      <c r="B17" s="20" t="s">
        <v>70</v>
      </c>
    </row>
    <row r="18" spans="2:5" x14ac:dyDescent="0.25">
      <c r="B18" s="5" t="s">
        <v>71</v>
      </c>
      <c r="C18" s="21">
        <f>Assumptions!$C$7</f>
      </c>
      <c r="D18" s="16">
        <f>$C$18/$C$21</f>
      </c>
      <c r="E18" s="22">
        <f>$C$18/Assumptions!$C$7</f>
      </c>
    </row>
    <row r="19" spans="2:5" x14ac:dyDescent="0.25">
      <c r="B19" s="5" t="s">
        <v>72</v>
      </c>
      <c r="C19" s="21">
        <f>Assumptions!$C$7*Assumptions!$C$8</f>
      </c>
      <c r="D19" s="16">
        <f>$C$19/$C$21</f>
      </c>
      <c r="E19" s="22">
        <f>$C$19/Assumptions!$C$7</f>
      </c>
    </row>
    <row r="20" spans="2:5" x14ac:dyDescent="0.25">
      <c r="B20" s="5" t="s">
        <v>73</v>
      </c>
      <c r="C20" s="21">
        <f>$C$9*Assumptions!$C$9</f>
      </c>
      <c r="D20" s="16">
        <f>$C$20/$C$21</f>
      </c>
      <c r="E20" s="22">
        <f>$C$20/Assumptions!$C$7</f>
      </c>
    </row>
    <row r="21" spans="2:5" x14ac:dyDescent="0.25">
      <c r="B21" s="11" t="s">
        <v>74</v>
      </c>
      <c r="C21" s="12">
        <f>SUM($C$18:$C$20)</f>
      </c>
      <c r="D21" s="23">
        <f>$C$21/$C$21</f>
      </c>
      <c r="E21" s="24">
        <f>$C$21/Assumptions!$C$7</f>
      </c>
    </row>
    <row r="23" spans="2:3" x14ac:dyDescent="0.25">
      <c r="B23" s="25" t="s">
        <v>75</v>
      </c>
      <c r="C23" s="4">
        <f>$C$14-$C$21</f>
      </c>
    </row>
    <row r="25" spans="2:5" x14ac:dyDescent="0.25">
      <c r="B25" s="8" t="s">
        <v>76</v>
      </c>
      <c r="C25" s="8"/>
      <c r="D25" s="8"/>
      <c r="E25" s="8"/>
    </row>
    <row r="26" spans="2:4" x14ac:dyDescent="0.25">
      <c r="B26" s="5" t="s">
        <v>77</v>
      </c>
      <c r="C26" s="26">
        <f>$C$9/Assumptions!$C$5</f>
      </c>
      <c r="D26" s="27" t="s">
        <v>78</v>
      </c>
    </row>
    <row r="27" spans="2:4" x14ac:dyDescent="0.25">
      <c r="B27" s="5" t="s">
        <v>79</v>
      </c>
      <c r="C27" s="28">
        <f>$C$13/Assumptions!$C$7</f>
      </c>
      <c r="D27" s="27" t="s">
        <v>80</v>
      </c>
    </row>
    <row r="28" spans="2:4" x14ac:dyDescent="0.25">
      <c r="B28" s="5" t="s">
        <v>81</v>
      </c>
      <c r="C28" s="26">
        <f>(Assumptions!$C$28)/(Assumptions!$D$15*Assumptions!$E$15+Assumptions!$D$16*Assumptions!$E$16+Assumptions!$D$17*(Assumptions!$E$17-Assumptions!$G$17))</f>
      </c>
      <c r="D28" s="27" t="s">
        <v>82</v>
      </c>
    </row>
  </sheetData>
  <mergeCells count="3">
    <mergeCell ref="B4:E4"/>
    <mergeCell ref="B16:E16"/>
    <mergeCell ref="B25:E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FormatPr defaultRowHeight="15" outlineLevelRow="0" outlineLevelCol="0" x14ac:dyDescent="55"/>
  <cols>
    <col min="1" max="1" width="2" customWidth="1"/>
    <col min="2" max="2" width="45" customWidth="1"/>
    <col min="3" max="3" width="15" customWidth="1"/>
    <col min="4" max="8" width="13" customWidth="1"/>
  </cols>
  <sheetData>
    <row r="1" spans="2:2" x14ac:dyDescent="0.25">
      <c r="B1" s="1" t="s">
        <v>83</v>
      </c>
    </row>
    <row r="2" spans="2:2" x14ac:dyDescent="0.25">
      <c r="B2" s="2" t="s">
        <v>84</v>
      </c>
    </row>
    <row r="3" spans="2:8" x14ac:dyDescent="0.25">
      <c r="B3" s="8" t="s">
        <v>85</v>
      </c>
      <c r="C3" s="8"/>
      <c r="D3" s="8"/>
      <c r="E3" s="8"/>
      <c r="F3" s="8"/>
      <c r="G3" s="8"/>
      <c r="H3" s="8"/>
    </row>
    <row r="4" spans="2:8" x14ac:dyDescent="0.25">
      <c r="B4" s="5" t="s">
        <v>86</v>
      </c>
      <c r="C4" s="9" t="s">
        <v>23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</row>
    <row r="6" spans="2:8" x14ac:dyDescent="0.25">
      <c r="B6" s="3" t="s">
        <v>87</v>
      </c>
      <c r="C6" s="29">
        <f>Assumptions!$C$27</f>
      </c>
      <c r="D6" s="29">
        <f>Assumptions!$D$27</f>
      </c>
      <c r="E6" s="29">
        <f>Assumptions!$E$27</f>
      </c>
      <c r="F6" s="29">
        <f>Assumptions!$F$27</f>
      </c>
      <c r="G6" s="29">
        <f>Assumptions!$G$27</f>
      </c>
      <c r="H6" s="29">
        <f>Assumptions!$H$27</f>
      </c>
    </row>
    <row r="7" spans="2:8" x14ac:dyDescent="0.25">
      <c r="B7" s="5" t="s">
        <v>88</v>
      </c>
      <c r="C7" s="30" t="s">
        <v>89</v>
      </c>
      <c r="D7" s="16">
        <f>$D$6/$C$6-1</f>
      </c>
      <c r="E7" s="16">
        <f>$E$6/$D$6-1</f>
      </c>
      <c r="F7" s="16">
        <f>$F$6/$E$6-1</f>
      </c>
      <c r="G7" s="16">
        <f>$G$6/$F$6-1</f>
      </c>
      <c r="H7" s="16">
        <f>$H$6/$G$6-1</f>
      </c>
    </row>
    <row r="9" spans="2:8" x14ac:dyDescent="0.25">
      <c r="B9" s="3" t="s">
        <v>90</v>
      </c>
      <c r="C9" s="29">
        <f>Assumptions!$C$28</f>
      </c>
      <c r="D9" s="29">
        <f>Assumptions!$D$28</f>
      </c>
      <c r="E9" s="29">
        <f>Assumptions!$E$28</f>
      </c>
      <c r="F9" s="29">
        <f>Assumptions!$F$28</f>
      </c>
      <c r="G9" s="29">
        <f>Assumptions!$G$28</f>
      </c>
      <c r="H9" s="29">
        <f>Assumptions!$H$28</f>
      </c>
    </row>
    <row r="10" spans="2:8" x14ac:dyDescent="0.25">
      <c r="B10" s="5" t="s">
        <v>91</v>
      </c>
      <c r="C10" s="16">
        <f>$C$9/$C$6</f>
      </c>
      <c r="D10" s="16">
        <f>$D$9/$D$6</f>
      </c>
      <c r="E10" s="16">
        <f>$E$9/$E$6</f>
      </c>
      <c r="F10" s="16">
        <f>$F$9/$F$6</f>
      </c>
      <c r="G10" s="16">
        <f>$G$9/$G$6</f>
      </c>
      <c r="H10" s="16">
        <f>$H$9/$H$6</f>
      </c>
    </row>
    <row r="11" spans="2:8" x14ac:dyDescent="0.25">
      <c r="B11" s="5" t="s">
        <v>92</v>
      </c>
      <c r="C11" s="21">
        <f>Assumptions!$C$30</f>
      </c>
      <c r="D11" s="21">
        <f>Assumptions!$D$30</f>
      </c>
      <c r="E11" s="21">
        <f>Assumptions!$E$30</f>
      </c>
      <c r="F11" s="21">
        <f>Assumptions!$F$30</f>
      </c>
      <c r="G11" s="21">
        <f>Assumptions!$G$30</f>
      </c>
      <c r="H11" s="21">
        <f>Assumptions!$H$30</f>
      </c>
    </row>
    <row r="12" spans="2:8" x14ac:dyDescent="0.25">
      <c r="B12" s="3" t="s">
        <v>93</v>
      </c>
      <c r="C12" s="4">
        <f>$C$9-$C$11</f>
      </c>
      <c r="D12" s="4">
        <f>$D$9-$D$11</f>
      </c>
      <c r="E12" s="4">
        <f>$E$9-$E$11</f>
      </c>
      <c r="F12" s="4">
        <f>$F$9-$F$11</f>
      </c>
      <c r="G12" s="4">
        <f>$G$9-$G$11</f>
      </c>
      <c r="H12" s="4">
        <f>$H$9-$H$11</f>
      </c>
    </row>
    <row r="13" spans="2:8" x14ac:dyDescent="0.25">
      <c r="B13" s="5" t="s">
        <v>94</v>
      </c>
      <c r="C13" s="16">
        <f>$C$12/$C$6</f>
      </c>
      <c r="D13" s="16">
        <f>$D$12/$D$6</f>
      </c>
      <c r="E13" s="16">
        <f>$E$12/$E$6</f>
      </c>
      <c r="F13" s="16">
        <f>$F$12/$F$6</f>
      </c>
      <c r="G13" s="16">
        <f>$G$12/$G$6</f>
      </c>
      <c r="H13" s="16">
        <f>$H$12/$H$6</f>
      </c>
    </row>
    <row r="14" spans="2:2" x14ac:dyDescent="0.25">
      <c r="B14" s="31" t="s">
        <v>95</v>
      </c>
    </row>
    <row r="15" spans="2:8" x14ac:dyDescent="0.25">
      <c r="B15" s="5" t="s">
        <v>96</v>
      </c>
      <c r="C15" s="21">
        <f>Assumptions!$D$15*Assumptions!$E$15</f>
      </c>
      <c r="D15" s="21">
        <f>Debt_Schedule!$D$12</f>
      </c>
      <c r="E15" s="21">
        <f>Debt_Schedule!$E$12</f>
      </c>
      <c r="F15" s="21">
        <f>Debt_Schedule!$F$12</f>
      </c>
      <c r="G15" s="21">
        <f>Debt_Schedule!$G$12</f>
      </c>
      <c r="H15" s="21">
        <f>Debt_Schedule!$H$12</f>
      </c>
    </row>
    <row r="16" spans="2:8" x14ac:dyDescent="0.25">
      <c r="B16" s="5" t="s">
        <v>97</v>
      </c>
      <c r="C16" s="21">
        <f>Assumptions!$D$16*Assumptions!$E$16</f>
      </c>
      <c r="D16" s="21">
        <f>Debt_Schedule!$D$20</f>
      </c>
      <c r="E16" s="21">
        <f>Debt_Schedule!$E$20</f>
      </c>
      <c r="F16" s="21">
        <f>Debt_Schedule!$F$20</f>
      </c>
      <c r="G16" s="21">
        <f>Debt_Schedule!$G$20</f>
      </c>
      <c r="H16" s="21">
        <f>Debt_Schedule!$H$20</f>
      </c>
    </row>
    <row r="17" spans="2:8" x14ac:dyDescent="0.25">
      <c r="B17" s="5" t="s">
        <v>98</v>
      </c>
      <c r="C17" s="21">
        <f>Assumptions!$D$17*Assumptions!$E$17</f>
      </c>
      <c r="D17" s="21">
        <f>Debt_Schedule!$D$28+Debt_Schedule!$D$29</f>
      </c>
      <c r="E17" s="21">
        <f>Debt_Schedule!$E$28+Debt_Schedule!$E$29</f>
      </c>
      <c r="F17" s="21">
        <f>Debt_Schedule!$F$28+Debt_Schedule!$F$29</f>
      </c>
      <c r="G17" s="21">
        <f>Debt_Schedule!$G$28+Debt_Schedule!$G$29</f>
      </c>
      <c r="H17" s="21">
        <f>Debt_Schedule!$H$28+Debt_Schedule!$H$29</f>
      </c>
    </row>
    <row r="18" spans="2:8" x14ac:dyDescent="0.25">
      <c r="B18" s="11" t="s">
        <v>99</v>
      </c>
      <c r="C18" s="12">
        <f>SUM($C$15:$C$17)</f>
      </c>
      <c r="D18" s="12">
        <f>SUM($D$15:$D$17)</f>
      </c>
      <c r="E18" s="12">
        <f>SUM($E$15:$E$17)</f>
      </c>
      <c r="F18" s="12">
        <f>SUM($F$15:$F$17)</f>
      </c>
      <c r="G18" s="12">
        <f>SUM($G$15:$G$17)</f>
      </c>
      <c r="H18" s="12">
        <f>SUM($H$15:$H$17)</f>
      </c>
    </row>
    <row r="20" spans="2:8" x14ac:dyDescent="0.25">
      <c r="B20" s="3" t="s">
        <v>100</v>
      </c>
      <c r="C20" s="4">
        <f>$C$12-$C$18</f>
      </c>
      <c r="D20" s="4">
        <f>$D$12-$D$18</f>
      </c>
      <c r="E20" s="4">
        <f>$E$12-$E$18</f>
      </c>
      <c r="F20" s="4">
        <f>$F$12-$F$18</f>
      </c>
      <c r="G20" s="4">
        <f>$G$12-$G$18</f>
      </c>
      <c r="H20" s="4">
        <f>$H$12-$H$18</f>
      </c>
    </row>
    <row r="21" spans="2:8" x14ac:dyDescent="0.25">
      <c r="B21" s="5" t="s">
        <v>101</v>
      </c>
      <c r="C21" s="21">
        <f>MAX($C$20*Assumptions!$C$35,0)</f>
      </c>
      <c r="D21" s="21">
        <f>MAX($D$20*Assumptions!$D$35,0)</f>
      </c>
      <c r="E21" s="21">
        <f>MAX($E$20*Assumptions!$E$35,0)</f>
      </c>
      <c r="F21" s="21">
        <f>MAX($F$20*Assumptions!$F$35,0)</f>
      </c>
      <c r="G21" s="21">
        <f>MAX($G$20*Assumptions!$G$35,0)</f>
      </c>
      <c r="H21" s="21">
        <f>MAX($H$20*Assumptions!$H$35,0)</f>
      </c>
    </row>
    <row r="22" spans="2:8" x14ac:dyDescent="0.25">
      <c r="B22" s="11" t="s">
        <v>102</v>
      </c>
      <c r="C22" s="12">
        <f>$C$20-$C$21</f>
      </c>
      <c r="D22" s="12">
        <f>$D$20-$D$21</f>
      </c>
      <c r="E22" s="12">
        <f>$E$20-$E$21</f>
      </c>
      <c r="F22" s="12">
        <f>$F$20-$F$21</f>
      </c>
      <c r="G22" s="12">
        <f>$G$20-$G$21</f>
      </c>
      <c r="H22" s="12">
        <f>$H$20-$H$21</f>
      </c>
    </row>
    <row r="23" spans="2:8" x14ac:dyDescent="0.25">
      <c r="B23" s="5" t="s">
        <v>103</v>
      </c>
      <c r="C23" s="16">
        <f>IFERROR($C$22/$C$6,0)</f>
      </c>
      <c r="D23" s="16">
        <f>IFERROR($D$22/$D$6,0)</f>
      </c>
      <c r="E23" s="16">
        <f>IFERROR($E$22/$E$6,0)</f>
      </c>
      <c r="F23" s="16">
        <f>IFERROR($F$22/$F$6,0)</f>
      </c>
      <c r="G23" s="16">
        <f>IFERROR($G$22/$G$6,0)</f>
      </c>
      <c r="H23" s="16">
        <f>IFERROR($H$22/$H$6,0)</f>
      </c>
    </row>
  </sheetData>
  <mergeCells count="1"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7"/>
  <sheetFormatPr defaultRowHeight="15" outlineLevelRow="0" outlineLevelCol="0" x14ac:dyDescent="55"/>
  <cols>
    <col min="1" max="1" width="2" customWidth="1"/>
    <col min="2" max="2" width="52" customWidth="1"/>
    <col min="3" max="3" width="15" customWidth="1"/>
    <col min="4" max="8" width="13" customWidth="1"/>
  </cols>
  <sheetData>
    <row r="1" spans="2:2" x14ac:dyDescent="0.25">
      <c r="B1" s="1" t="s">
        <v>104</v>
      </c>
    </row>
    <row r="2" spans="2:2" x14ac:dyDescent="0.25">
      <c r="B2" s="2" t="s">
        <v>105</v>
      </c>
    </row>
    <row r="3" spans="2:8" x14ac:dyDescent="0.25">
      <c r="B3" s="8" t="s">
        <v>106</v>
      </c>
      <c r="C3" s="8"/>
      <c r="D3" s="8"/>
      <c r="E3" s="8"/>
      <c r="F3" s="8"/>
      <c r="G3" s="8"/>
      <c r="H3" s="8"/>
    </row>
    <row r="4" spans="3:8" x14ac:dyDescent="0.25">
      <c r="C4" s="32" t="s">
        <v>107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</row>
    <row r="6" spans="2:8" x14ac:dyDescent="0.25">
      <c r="B6" s="8" t="s">
        <v>108</v>
      </c>
      <c r="C6" s="8"/>
      <c r="D6" s="8"/>
      <c r="E6" s="8"/>
      <c r="F6" s="8"/>
      <c r="G6" s="8"/>
      <c r="H6" s="8"/>
    </row>
    <row r="7" spans="2:8" x14ac:dyDescent="0.25">
      <c r="B7" s="5" t="s">
        <v>109</v>
      </c>
      <c r="C7" s="21">
        <f>Assumptions!$D$15</f>
      </c>
      <c r="D7" s="10">
        <f>$C$10</f>
      </c>
      <c r="E7" s="10">
        <f>$D$10</f>
      </c>
      <c r="F7" s="10">
        <f>$E$10</f>
      </c>
      <c r="G7" s="10">
        <f>$F$10</f>
      </c>
      <c r="H7" s="10">
        <f>$G$10</f>
      </c>
    </row>
    <row r="8" spans="2:8" x14ac:dyDescent="0.25">
      <c r="B8" s="5" t="s">
        <v>110</v>
      </c>
      <c r="C8" s="10">
        <f>0</f>
      </c>
      <c r="D8" s="21">
        <f>MIN(Assumptions!$D$15*Assumptions!$F$15,$D$7)</f>
      </c>
      <c r="E8" s="21">
        <f>MIN(Assumptions!$D$15*Assumptions!$F$15,$E$7)</f>
      </c>
      <c r="F8" s="21">
        <f>MIN(Assumptions!$D$15*Assumptions!$F$15,$F$7)</f>
      </c>
      <c r="G8" s="21">
        <f>MIN(Assumptions!$D$15*Assumptions!$F$15,$G$7)</f>
      </c>
      <c r="H8" s="21">
        <f>MIN(Assumptions!$D$15*Assumptions!$F$15,$H$7)</f>
      </c>
    </row>
    <row r="9" spans="2:8" x14ac:dyDescent="0.25">
      <c r="B9" s="5" t="s">
        <v>111</v>
      </c>
      <c r="C9" s="10">
        <f>0</f>
      </c>
      <c r="D9" s="21">
        <f>MIN(MAX(Cash_Flow!$D$13,0),MAX($D$7-$D$8,0))</f>
      </c>
      <c r="E9" s="21">
        <f>MIN(MAX(Cash_Flow!$E$13,0),MAX($E$7-$E$8,0))</f>
      </c>
      <c r="F9" s="21">
        <f>MIN(MAX(Cash_Flow!$F$13,0),MAX($F$7-$F$8,0))</f>
      </c>
      <c r="G9" s="21">
        <f>MIN(MAX(Cash_Flow!$G$13,0),MAX($G$7-$G$8,0))</f>
      </c>
      <c r="H9" s="21">
        <f>MIN(MAX(Cash_Flow!$H$13,0),MAX($H$7-$H$8,0))</f>
      </c>
    </row>
    <row r="10" spans="2:8" x14ac:dyDescent="0.25">
      <c r="B10" s="3" t="s">
        <v>112</v>
      </c>
      <c r="C10" s="4">
        <f>$C$7</f>
      </c>
      <c r="D10" s="4">
        <f>MAX($D$7-$D$8-$D$9,0)</f>
      </c>
      <c r="E10" s="4">
        <f>MAX($E$7-$E$8-$E$9,0)</f>
      </c>
      <c r="F10" s="4">
        <f>MAX($F$7-$F$8-$F$9,0)</f>
      </c>
      <c r="G10" s="4">
        <f>MAX($G$7-$G$8-$G$9,0)</f>
      </c>
      <c r="H10" s="4">
        <f>MAX($H$7-$H$8-$H$9,0)</f>
      </c>
    </row>
    <row r="12" spans="2:8" x14ac:dyDescent="0.25">
      <c r="B12" s="5" t="s">
        <v>113</v>
      </c>
      <c r="C12" s="10">
        <f>0</f>
      </c>
      <c r="D12" s="21">
        <f>$D$7*Assumptions!$E$15</f>
      </c>
      <c r="E12" s="21">
        <f>$E$7*Assumptions!$E$15</f>
      </c>
      <c r="F12" s="21">
        <f>$F$7*Assumptions!$E$15</f>
      </c>
      <c r="G12" s="21">
        <f>$G$7*Assumptions!$E$15</f>
      </c>
      <c r="H12" s="21">
        <f>$H$7*Assumptions!$E$15</f>
      </c>
    </row>
    <row r="14" spans="2:8" x14ac:dyDescent="0.25">
      <c r="B14" s="8" t="s">
        <v>114</v>
      </c>
      <c r="C14" s="8"/>
      <c r="D14" s="8"/>
      <c r="E14" s="8"/>
      <c r="F14" s="8"/>
      <c r="G14" s="8"/>
      <c r="H14" s="8"/>
    </row>
    <row r="15" spans="2:8" x14ac:dyDescent="0.25">
      <c r="B15" s="5" t="s">
        <v>109</v>
      </c>
      <c r="C15" s="21">
        <f>Assumptions!$D$16</f>
      </c>
      <c r="D15" s="10">
        <f>$C$18</f>
      </c>
      <c r="E15" s="10">
        <f>$D$18</f>
      </c>
      <c r="F15" s="10">
        <f>$E$18</f>
      </c>
      <c r="G15" s="10">
        <f>$F$18</f>
      </c>
      <c r="H15" s="10">
        <f>$G$18</f>
      </c>
    </row>
    <row r="16" spans="2:8" x14ac:dyDescent="0.25">
      <c r="B16" s="5" t="s">
        <v>115</v>
      </c>
      <c r="C16" s="10">
        <f>0</f>
      </c>
      <c r="D16" s="10">
        <f>0</f>
      </c>
      <c r="E16" s="10">
        <f>0</f>
      </c>
      <c r="F16" s="10">
        <f>0</f>
      </c>
      <c r="G16" s="10">
        <f>0</f>
      </c>
      <c r="H16" s="10">
        <f>0</f>
      </c>
    </row>
    <row r="17" spans="2:8" x14ac:dyDescent="0.25">
      <c r="B17" s="5" t="s">
        <v>116</v>
      </c>
      <c r="C17" s="10">
        <f>0</f>
      </c>
      <c r="D17" s="21">
        <f>MIN(MAX(Cash_Flow!$D$13-$D$9,0),MAX($D$15,0))</f>
      </c>
      <c r="E17" s="21">
        <f>MIN(MAX(Cash_Flow!$E$13-$E$9,0),MAX($E$15,0))</f>
      </c>
      <c r="F17" s="21">
        <f>MIN(MAX(Cash_Flow!$F$13-$F$9,0),MAX($F$15,0))</f>
      </c>
      <c r="G17" s="21">
        <f>MIN(MAX(Cash_Flow!$G$13-$G$9,0),MAX($G$15,0))</f>
      </c>
      <c r="H17" s="21">
        <f>MIN(MAX(Cash_Flow!$H$13-$H$9,0),MAX($H$15,0))</f>
      </c>
    </row>
    <row r="18" spans="2:8" x14ac:dyDescent="0.25">
      <c r="B18" s="3" t="s">
        <v>112</v>
      </c>
      <c r="C18" s="4">
        <f>$C$15</f>
      </c>
      <c r="D18" s="4">
        <f>MAX($D$15-$D$17,0)</f>
      </c>
      <c r="E18" s="4">
        <f>MAX($E$15-$E$17,0)</f>
      </c>
      <c r="F18" s="4">
        <f>MAX($F$15-$F$17,0)</f>
      </c>
      <c r="G18" s="4">
        <f>MAX($G$15-$G$17,0)</f>
      </c>
      <c r="H18" s="4">
        <f>MAX($H$15-$H$17,0)</f>
      </c>
    </row>
    <row r="20" spans="2:8" x14ac:dyDescent="0.25">
      <c r="B20" s="5" t="s">
        <v>113</v>
      </c>
      <c r="C20" s="10">
        <f>0</f>
      </c>
      <c r="D20" s="21">
        <f>$D$15*Assumptions!$E$16</f>
      </c>
      <c r="E20" s="21">
        <f>$E$15*Assumptions!$E$16</f>
      </c>
      <c r="F20" s="21">
        <f>$F$15*Assumptions!$E$16</f>
      </c>
      <c r="G20" s="21">
        <f>$G$15*Assumptions!$E$16</f>
      </c>
      <c r="H20" s="21">
        <f>$H$15*Assumptions!$E$16</f>
      </c>
    </row>
    <row r="22" spans="2:8" x14ac:dyDescent="0.25">
      <c r="B22" s="8" t="s">
        <v>117</v>
      </c>
      <c r="C22" s="8"/>
      <c r="D22" s="8"/>
      <c r="E22" s="8"/>
      <c r="F22" s="8"/>
      <c r="G22" s="8"/>
      <c r="H22" s="8"/>
    </row>
    <row r="23" spans="2:8" x14ac:dyDescent="0.25">
      <c r="B23" s="5" t="s">
        <v>109</v>
      </c>
      <c r="C23" s="21">
        <f>Assumptions!$D$17</f>
      </c>
      <c r="D23" s="10">
        <f>$C$26</f>
      </c>
      <c r="E23" s="10">
        <f>$D$26</f>
      </c>
      <c r="F23" s="10">
        <f>$E$26</f>
      </c>
      <c r="G23" s="10">
        <f>$F$26</f>
      </c>
      <c r="H23" s="10">
        <f>$G$26</f>
      </c>
    </row>
    <row r="24" spans="2:8" x14ac:dyDescent="0.25">
      <c r="B24" s="5" t="s">
        <v>118</v>
      </c>
      <c r="C24" s="10">
        <f>0</f>
      </c>
      <c r="D24" s="21">
        <f>$D$23*Assumptions!$G$17</f>
      </c>
      <c r="E24" s="21">
        <f>$E$23*Assumptions!$G$17</f>
      </c>
      <c r="F24" s="21">
        <f>$F$23*Assumptions!$G$17</f>
      </c>
      <c r="G24" s="21">
        <f>$G$23*Assumptions!$G$17</f>
      </c>
      <c r="H24" s="21">
        <f>$H$23*Assumptions!$G$17</f>
      </c>
    </row>
    <row r="25" spans="2:8" x14ac:dyDescent="0.25">
      <c r="B25" s="5" t="s">
        <v>119</v>
      </c>
      <c r="C25" s="10">
        <f>0</f>
      </c>
      <c r="D25" s="21">
        <f>MIN(MAX(Cash_Flow!$D$13-$D$9-$D$17,0),MAX($D$23+$D$24,0))</f>
      </c>
      <c r="E25" s="21">
        <f>MIN(MAX(Cash_Flow!$E$13-$E$9-$E$17,0),MAX($E$23+$E$24,0))</f>
      </c>
      <c r="F25" s="21">
        <f>MIN(MAX(Cash_Flow!$F$13-$F$9-$F$17,0),MAX($F$23+$F$24,0))</f>
      </c>
      <c r="G25" s="21">
        <f>MIN(MAX(Cash_Flow!$G$13-$G$9-$G$17,0),MAX($G$23+$G$24,0))</f>
      </c>
      <c r="H25" s="21">
        <f>MIN(MAX(Cash_Flow!$H$13-$H$9-$H$17,0),MAX($H$23+$H$24,0))</f>
      </c>
    </row>
    <row r="26" spans="2:8" x14ac:dyDescent="0.25">
      <c r="B26" s="3" t="s">
        <v>112</v>
      </c>
      <c r="C26" s="4">
        <f>$C$23</f>
      </c>
      <c r="D26" s="4">
        <f>MAX($D$23+$D$24-$D$25,0)</f>
      </c>
      <c r="E26" s="4">
        <f>MAX($E$23+$E$24-$E$25,0)</f>
      </c>
      <c r="F26" s="4">
        <f>MAX($F$23+$F$24-$F$25,0)</f>
      </c>
      <c r="G26" s="4">
        <f>MAX($G$23+$G$24-$G$25,0)</f>
      </c>
      <c r="H26" s="4">
        <f>MAX($H$23+$H$24-$H$25,0)</f>
      </c>
    </row>
    <row r="28" spans="2:8" x14ac:dyDescent="0.25">
      <c r="B28" s="5" t="s">
        <v>120</v>
      </c>
      <c r="C28" s="10">
        <f>0</f>
      </c>
      <c r="D28" s="21">
        <f>$D$23*(Assumptions!$E$17-Assumptions!$G$17)</f>
      </c>
      <c r="E28" s="21">
        <f>$E$23*(Assumptions!$E$17-Assumptions!$G$17)</f>
      </c>
      <c r="F28" s="21">
        <f>$F$23*(Assumptions!$E$17-Assumptions!$G$17)</f>
      </c>
      <c r="G28" s="21">
        <f>$G$23*(Assumptions!$E$17-Assumptions!$G$17)</f>
      </c>
      <c r="H28" s="21">
        <f>$H$23*(Assumptions!$E$17-Assumptions!$G$17)</f>
      </c>
    </row>
    <row r="29" spans="2:8" x14ac:dyDescent="0.25">
      <c r="B29" s="5" t="s">
        <v>121</v>
      </c>
      <c r="C29" s="10">
        <f>0</f>
      </c>
      <c r="D29" s="10">
        <f>$D$24</f>
      </c>
      <c r="E29" s="10">
        <f>$E$24</f>
      </c>
      <c r="F29" s="10">
        <f>$F$24</f>
      </c>
      <c r="G29" s="10">
        <f>$G$24</f>
      </c>
      <c r="H29" s="10">
        <f>$H$24</f>
      </c>
    </row>
    <row r="31" spans="2:8" x14ac:dyDescent="0.25">
      <c r="B31" s="8" t="s">
        <v>122</v>
      </c>
      <c r="C31" s="8"/>
      <c r="D31" s="8"/>
      <c r="E31" s="8"/>
      <c r="F31" s="8"/>
      <c r="G31" s="8"/>
      <c r="H31" s="8"/>
    </row>
    <row r="32" spans="3:8" x14ac:dyDescent="0.25">
      <c r="C32" s="32" t="s">
        <v>107</v>
      </c>
      <c r="D32" s="9" t="s">
        <v>24</v>
      </c>
      <c r="E32" s="9" t="s">
        <v>25</v>
      </c>
      <c r="F32" s="9" t="s">
        <v>26</v>
      </c>
      <c r="G32" s="9" t="s">
        <v>27</v>
      </c>
      <c r="H32" s="9" t="s">
        <v>28</v>
      </c>
    </row>
    <row r="33" spans="2:8" x14ac:dyDescent="0.25">
      <c r="B33" s="11" t="s">
        <v>123</v>
      </c>
      <c r="C33" s="12">
        <f>$C$10+$C$18+$C$26</f>
      </c>
      <c r="D33" s="12">
        <f>$D$10+$D$18+$D$26</f>
      </c>
      <c r="E33" s="12">
        <f>$E$10+$E$18+$E$26</f>
      </c>
      <c r="F33" s="12">
        <f>$F$10+$F$18+$F$26</f>
      </c>
      <c r="G33" s="12">
        <f>$G$10+$G$18+$G$26</f>
      </c>
      <c r="H33" s="12">
        <f>$H$10+$H$18+$H$26</f>
      </c>
    </row>
    <row r="34" spans="2:8" x14ac:dyDescent="0.25">
      <c r="B34" s="11" t="s">
        <v>124</v>
      </c>
      <c r="C34" s="12">
        <f>$C$12+$C$20+$C$28</f>
      </c>
      <c r="D34" s="12">
        <f>$D$12+$D$20+$D$28</f>
      </c>
      <c r="E34" s="12">
        <f>$E$12+$E$20+$E$28</f>
      </c>
      <c r="F34" s="12">
        <f>$F$12+$F$20+$F$28</f>
      </c>
      <c r="G34" s="12">
        <f>$G$12+$G$20+$G$28</f>
      </c>
      <c r="H34" s="12">
        <f>$H$12+$H$20+$H$28</f>
      </c>
    </row>
    <row r="35" spans="2:8" x14ac:dyDescent="0.25">
      <c r="B35" s="5" t="s">
        <v>125</v>
      </c>
      <c r="C35" s="10">
        <f>$C$29</f>
      </c>
      <c r="D35" s="10">
        <f>$D$29</f>
      </c>
      <c r="E35" s="10">
        <f>$E$29</f>
      </c>
      <c r="F35" s="10">
        <f>$F$29</f>
      </c>
      <c r="G35" s="10">
        <f>$G$29</f>
      </c>
      <c r="H35" s="10">
        <f>$H$29</f>
      </c>
    </row>
    <row r="36" spans="2:8" x14ac:dyDescent="0.25">
      <c r="B36" s="11" t="s">
        <v>126</v>
      </c>
      <c r="C36" s="12">
        <f>$C$34+$C$35</f>
      </c>
      <c r="D36" s="12">
        <f>$D$34+$D$35</f>
      </c>
      <c r="E36" s="12">
        <f>$E$34+$E$35</f>
      </c>
      <c r="F36" s="12">
        <f>$F$34+$F$35</f>
      </c>
      <c r="G36" s="12">
        <f>$G$34+$G$35</f>
      </c>
      <c r="H36" s="12">
        <f>$H$34+$H$35</f>
      </c>
    </row>
    <row r="37" spans="2:8" x14ac:dyDescent="0.25">
      <c r="B37" s="5" t="s">
        <v>127</v>
      </c>
      <c r="C37" s="10">
        <f>$C$8+$C$16</f>
      </c>
      <c r="D37" s="10">
        <f>$D$8+$D$16</f>
      </c>
      <c r="E37" s="10">
        <f>$E$8+$E$16</f>
      </c>
      <c r="F37" s="10">
        <f>$F$8+$F$16</f>
      </c>
      <c r="G37" s="10">
        <f>$G$8+$G$16</f>
      </c>
      <c r="H37" s="10">
        <f>$H$8+$H$16</f>
      </c>
    </row>
  </sheetData>
  <mergeCells count="5">
    <mergeCell ref="B3:H3"/>
    <mergeCell ref="B6:H6"/>
    <mergeCell ref="B14:H14"/>
    <mergeCell ref="B22:H22"/>
    <mergeCell ref="B31:H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7"/>
  <sheetFormatPr defaultRowHeight="15" outlineLevelRow="0" outlineLevelCol="0" x14ac:dyDescent="55"/>
  <cols>
    <col min="1" max="1" width="2" customWidth="1"/>
    <col min="2" max="2" width="55" customWidth="1"/>
    <col min="3" max="3" width="15" customWidth="1"/>
    <col min="4" max="8" width="13" customWidth="1"/>
  </cols>
  <sheetData>
    <row r="1" spans="2:2" x14ac:dyDescent="0.25">
      <c r="B1" s="1" t="s">
        <v>128</v>
      </c>
    </row>
    <row r="2" spans="2:2" x14ac:dyDescent="0.25">
      <c r="B2" s="2" t="s">
        <v>129</v>
      </c>
    </row>
    <row r="3" spans="2:8" x14ac:dyDescent="0.25">
      <c r="B3" s="8" t="s">
        <v>130</v>
      </c>
      <c r="C3" s="8"/>
      <c r="D3" s="8"/>
      <c r="E3" s="8"/>
      <c r="F3" s="8"/>
      <c r="G3" s="8"/>
      <c r="H3" s="8"/>
    </row>
    <row r="4" spans="3:8" x14ac:dyDescent="0.25">
      <c r="C4" s="32" t="s">
        <v>131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</row>
    <row r="5" spans="3:3" x14ac:dyDescent="0.25">
      <c r="C5" s="17" t="s">
        <v>132</v>
      </c>
    </row>
    <row r="6" spans="2:8" x14ac:dyDescent="0.25">
      <c r="B6" s="3" t="s">
        <v>90</v>
      </c>
      <c r="C6" s="17" t="s">
        <v>89</v>
      </c>
      <c r="D6" s="29">
        <f>Assumptions!$D$28</f>
      </c>
      <c r="E6" s="29">
        <f>Assumptions!$E$28</f>
      </c>
      <c r="F6" s="29">
        <f>Assumptions!$F$28</f>
      </c>
      <c r="G6" s="29">
        <f>Assumptions!$G$28</f>
      </c>
      <c r="H6" s="29">
        <f>Assumptions!$H$28</f>
      </c>
    </row>
    <row r="7" spans="2:8" x14ac:dyDescent="0.25">
      <c r="B7" s="5" t="s">
        <v>133</v>
      </c>
      <c r="C7" s="17" t="s">
        <v>89</v>
      </c>
      <c r="D7" s="21">
        <f>Debt_Schedule!$D$34</f>
      </c>
      <c r="E7" s="21">
        <f>Debt_Schedule!$E$34</f>
      </c>
      <c r="F7" s="21">
        <f>Debt_Schedule!$F$34</f>
      </c>
      <c r="G7" s="21">
        <f>Debt_Schedule!$G$34</f>
      </c>
      <c r="H7" s="21">
        <f>Debt_Schedule!$H$34</f>
      </c>
    </row>
    <row r="8" spans="2:8" x14ac:dyDescent="0.25">
      <c r="B8" s="5" t="s">
        <v>134</v>
      </c>
      <c r="C8" s="17" t="s">
        <v>89</v>
      </c>
      <c r="D8" s="21">
        <f>MAX((Assumptions!$D$28-Assumptions!$D$30-Debt_Schedule!$D$36)*Assumptions!$D$35,0)</f>
      </c>
      <c r="E8" s="21">
        <f>MAX((Assumptions!$E$28-Assumptions!$E$30-Debt_Schedule!$E$36)*Assumptions!$E$35,0)</f>
      </c>
      <c r="F8" s="21">
        <f>MAX((Assumptions!$F$28-Assumptions!$F$30-Debt_Schedule!$F$36)*Assumptions!$F$35,0)</f>
      </c>
      <c r="G8" s="21">
        <f>MAX((Assumptions!$G$28-Assumptions!$G$30-Debt_Schedule!$G$36)*Assumptions!$G$35,0)</f>
      </c>
      <c r="H8" s="21">
        <f>MAX((Assumptions!$H$28-Assumptions!$H$30-Debt_Schedule!$H$36)*Assumptions!$H$35,0)</f>
      </c>
    </row>
    <row r="9" spans="2:8" x14ac:dyDescent="0.25">
      <c r="B9" s="5" t="s">
        <v>135</v>
      </c>
      <c r="C9" s="17" t="s">
        <v>89</v>
      </c>
      <c r="D9" s="21">
        <f>Assumptions!$D$33</f>
      </c>
      <c r="E9" s="21">
        <f>Assumptions!$E$33</f>
      </c>
      <c r="F9" s="21">
        <f>Assumptions!$F$33</f>
      </c>
      <c r="G9" s="21">
        <f>Assumptions!$G$33</f>
      </c>
      <c r="H9" s="21">
        <f>Assumptions!$H$33</f>
      </c>
    </row>
    <row r="10" spans="2:8" x14ac:dyDescent="0.25">
      <c r="B10" s="5" t="s">
        <v>136</v>
      </c>
      <c r="C10" s="17" t="s">
        <v>89</v>
      </c>
      <c r="D10" s="21">
        <f>Assumptions!$D$34</f>
      </c>
      <c r="E10" s="21">
        <f>Assumptions!$E$34</f>
      </c>
      <c r="F10" s="21">
        <f>Assumptions!$F$34</f>
      </c>
      <c r="G10" s="21">
        <f>Assumptions!$G$34</f>
      </c>
      <c r="H10" s="21">
        <f>Assumptions!$H$34</f>
      </c>
    </row>
    <row r="11" spans="2:8" x14ac:dyDescent="0.25">
      <c r="B11" s="11" t="s">
        <v>137</v>
      </c>
      <c r="C11" s="17" t="s">
        <v>89</v>
      </c>
      <c r="D11" s="12">
        <f>$D$6-$D$7-$D$8-$D$9-$D$10</f>
      </c>
      <c r="E11" s="12">
        <f>$E$6-$E$7-$E$8-$E$9-$E$10</f>
      </c>
      <c r="F11" s="12">
        <f>$F$6-$F$7-$F$8-$F$9-$F$10</f>
      </c>
      <c r="G11" s="12">
        <f>$G$6-$G$7-$G$8-$G$9-$G$10</f>
      </c>
      <c r="H11" s="12">
        <f>$H$6-$H$7-$H$8-$H$9-$H$10</f>
      </c>
    </row>
    <row r="12" spans="2:8" x14ac:dyDescent="0.25">
      <c r="B12" s="5" t="s">
        <v>138</v>
      </c>
      <c r="C12" s="17" t="s">
        <v>89</v>
      </c>
      <c r="D12" s="21">
        <f>Debt_Schedule!$D$37</f>
      </c>
      <c r="E12" s="21">
        <f>Debt_Schedule!$E$37</f>
      </c>
      <c r="F12" s="21">
        <f>Debt_Schedule!$F$37</f>
      </c>
      <c r="G12" s="21">
        <f>Debt_Schedule!$G$37</f>
      </c>
      <c r="H12" s="21">
        <f>Debt_Schedule!$H$37</f>
      </c>
    </row>
    <row r="13" spans="2:8" x14ac:dyDescent="0.25">
      <c r="B13" s="3" t="s">
        <v>139</v>
      </c>
      <c r="C13" s="17" t="s">
        <v>89</v>
      </c>
      <c r="D13" s="4">
        <f>MAX($D$11-$D$12,0)</f>
      </c>
      <c r="E13" s="4">
        <f>MAX($E$11-$E$12,0)</f>
      </c>
      <c r="F13" s="4">
        <f>MAX($F$11-$F$12,0)</f>
      </c>
      <c r="G13" s="4">
        <f>MAX($G$11-$G$12,0)</f>
      </c>
      <c r="H13" s="4">
        <f>MAX($H$11-$H$12,0)</f>
      </c>
    </row>
    <row r="14" spans="2:8" x14ac:dyDescent="0.25">
      <c r="B14" s="5" t="s">
        <v>140</v>
      </c>
      <c r="C14" s="17" t="s">
        <v>89</v>
      </c>
      <c r="D14" s="21">
        <f> Debt_Schedule!$D$9+Debt_Schedule!$D$17+Debt_Schedule!$D$25</f>
      </c>
      <c r="E14" s="21">
        <f> Debt_Schedule!$E$9+Debt_Schedule!$E$17+Debt_Schedule!$E$25</f>
      </c>
      <c r="F14" s="21">
        <f> Debt_Schedule!$F$9+Debt_Schedule!$F$17+Debt_Schedule!$F$25</f>
      </c>
      <c r="G14" s="21">
        <f> Debt_Schedule!$G$9+Debt_Schedule!$G$17+Debt_Schedule!$G$25</f>
      </c>
      <c r="H14" s="21">
        <f> Debt_Schedule!$H$9+Debt_Schedule!$H$17+Debt_Schedule!$H$25</f>
      </c>
    </row>
    <row r="15" spans="2:8" x14ac:dyDescent="0.25">
      <c r="B15" s="5" t="s">
        <v>141</v>
      </c>
      <c r="C15" s="17" t="s">
        <v>89</v>
      </c>
      <c r="D15" s="10">
        <f>$D$13-$D$14</f>
      </c>
      <c r="E15" s="10">
        <f>$E$13-$E$14</f>
      </c>
      <c r="F15" s="10">
        <f>$F$13-$F$14</f>
      </c>
      <c r="G15" s="10">
        <f>$G$13-$G$14</f>
      </c>
      <c r="H15" s="10">
        <f>$H$13-$H$14</f>
      </c>
    </row>
    <row r="16" spans="2:8" x14ac:dyDescent="0.25">
      <c r="B16" s="5" t="s">
        <v>142</v>
      </c>
      <c r="C16" s="10">
        <f>0</f>
      </c>
      <c r="D16" s="10">
        <f>$C$17</f>
      </c>
      <c r="E16" s="10">
        <f>$D$17</f>
      </c>
      <c r="F16" s="10">
        <f>$E$17</f>
      </c>
      <c r="G16" s="10">
        <f>$F$17</f>
      </c>
      <c r="H16" s="10">
        <f>$G$17</f>
      </c>
    </row>
    <row r="17" spans="2:8" x14ac:dyDescent="0.25">
      <c r="B17" s="3" t="s">
        <v>143</v>
      </c>
      <c r="C17" s="4">
        <f>0</f>
      </c>
      <c r="D17" s="4">
        <f>$D$16+$D$15</f>
      </c>
      <c r="E17" s="4">
        <f>$E$16+$E$15</f>
      </c>
      <c r="F17" s="4">
        <f>$F$16+$F$15</f>
      </c>
      <c r="G17" s="4">
        <f>$G$16+$G$15</f>
      </c>
      <c r="H17" s="4">
        <f>$H$16+$H$15</f>
      </c>
    </row>
  </sheetData>
  <mergeCells count="1">
    <mergeCell ref="B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5"/>
  <sheetFormatPr defaultRowHeight="15" outlineLevelRow="0" outlineLevelCol="0" x14ac:dyDescent="55"/>
  <cols>
    <col min="1" max="1" width="2" customWidth="1"/>
    <col min="2" max="2" width="55" customWidth="1"/>
    <col min="3" max="3" width="15" customWidth="1"/>
    <col min="4" max="8" width="13" customWidth="1"/>
  </cols>
  <sheetData>
    <row r="1" spans="2:2" x14ac:dyDescent="0.25">
      <c r="B1" s="1" t="s">
        <v>144</v>
      </c>
    </row>
    <row r="2" spans="2:2" x14ac:dyDescent="0.25">
      <c r="B2" s="2" t="s">
        <v>145</v>
      </c>
    </row>
    <row r="3" spans="2:8" x14ac:dyDescent="0.25">
      <c r="B3" s="8" t="s">
        <v>146</v>
      </c>
      <c r="C3" s="8"/>
      <c r="D3" s="8"/>
      <c r="E3" s="8"/>
      <c r="F3" s="8"/>
      <c r="G3" s="8"/>
      <c r="H3" s="8"/>
    </row>
    <row r="4" spans="3:8" x14ac:dyDescent="0.25">
      <c r="C4" s="32" t="s">
        <v>107</v>
      </c>
      <c r="D4" s="9" t="s">
        <v>24</v>
      </c>
      <c r="E4" s="9" t="s">
        <v>25</v>
      </c>
      <c r="F4" s="9" t="s">
        <v>26</v>
      </c>
      <c r="G4" s="9" t="s">
        <v>27</v>
      </c>
      <c r="H4" s="9" t="s">
        <v>28</v>
      </c>
    </row>
    <row r="5" spans="2:8" x14ac:dyDescent="0.25">
      <c r="B5" s="8" t="s">
        <v>147</v>
      </c>
      <c r="C5" s="8"/>
      <c r="D5" s="8"/>
      <c r="E5" s="8"/>
      <c r="F5" s="8"/>
      <c r="G5" s="8"/>
      <c r="H5" s="8"/>
    </row>
    <row r="6" spans="2:8" x14ac:dyDescent="0.25">
      <c r="B6" s="5" t="s">
        <v>148</v>
      </c>
      <c r="C6" s="10">
        <f>0</f>
      </c>
      <c r="D6" s="21">
        <f>Cash_Flow!$D$17</f>
      </c>
      <c r="E6" s="21">
        <f>Cash_Flow!$E$17</f>
      </c>
      <c r="F6" s="21">
        <f>Cash_Flow!$F$17</f>
      </c>
      <c r="G6" s="21">
        <f>Cash_Flow!$G$17</f>
      </c>
      <c r="H6" s="21">
        <f>Cash_Flow!$H$17</f>
      </c>
    </row>
    <row r="7" spans="2:8" x14ac:dyDescent="0.25">
      <c r="B7" s="5" t="s">
        <v>149</v>
      </c>
      <c r="C7" s="21">
        <f>Assumptions!$C$59</f>
      </c>
      <c r="D7" s="21">
        <f>$C$7+Cash_Flow!$D$10</f>
      </c>
      <c r="E7" s="21">
        <f>$D$7+Cash_Flow!$E$10</f>
      </c>
      <c r="F7" s="21">
        <f>$E$7+Cash_Flow!$F$10</f>
      </c>
      <c r="G7" s="21">
        <f>$F$7+Cash_Flow!$G$10</f>
      </c>
      <c r="H7" s="21">
        <f>$G$7+Cash_Flow!$H$10</f>
      </c>
    </row>
    <row r="8" spans="2:8" x14ac:dyDescent="0.25">
      <c r="B8" s="5" t="s">
        <v>150</v>
      </c>
      <c r="C8" s="21">
        <f>Assumptions!$C$58</f>
      </c>
      <c r="D8" s="21">
        <f>$C$8+Cash_Flow!$D$9-Assumptions!$D$30</f>
      </c>
      <c r="E8" s="21">
        <f>$D$8+Cash_Flow!$E$9-Assumptions!$E$30</f>
      </c>
      <c r="F8" s="21">
        <f>$E$8+Cash_Flow!$F$9-Assumptions!$F$30</f>
      </c>
      <c r="G8" s="21">
        <f>$F$8+Cash_Flow!$G$9-Assumptions!$G$30</f>
      </c>
      <c r="H8" s="21">
        <f>$G$8+Cash_Flow!$H$9-Assumptions!$H$30</f>
      </c>
    </row>
    <row r="9" spans="2:8" x14ac:dyDescent="0.25">
      <c r="B9" s="5" t="s">
        <v>151</v>
      </c>
      <c r="C9" s="21">
        <f>Assumptions!$C$7*(1+Assumptions!$C$8)-Assumptions!$C$59-Assumptions!$C$58</f>
      </c>
      <c r="D9" s="21">
        <f>Assumptions!$C$7*(1+Assumptions!$C$8)-Assumptions!$C$59-Assumptions!$C$58</f>
      </c>
      <c r="E9" s="21">
        <f>Assumptions!$C$7*(1+Assumptions!$C$8)-Assumptions!$C$59-Assumptions!$C$58</f>
      </c>
      <c r="F9" s="21">
        <f>Assumptions!$C$7*(1+Assumptions!$C$8)-Assumptions!$C$59-Assumptions!$C$58</f>
      </c>
      <c r="G9" s="21">
        <f>Assumptions!$C$7*(1+Assumptions!$C$8)-Assumptions!$C$59-Assumptions!$C$58</f>
      </c>
      <c r="H9" s="21">
        <f>Assumptions!$C$7*(1+Assumptions!$C$8)-Assumptions!$C$59-Assumptions!$C$58</f>
      </c>
    </row>
    <row r="10" spans="2:8" x14ac:dyDescent="0.25">
      <c r="B10" s="5" t="s">
        <v>152</v>
      </c>
      <c r="C10" s="21">
        <f>Sources_Uses!$C$20</f>
      </c>
      <c r="D10" s="21">
        <f>Sources_Uses!$C$20</f>
      </c>
      <c r="E10" s="21">
        <f>Sources_Uses!$C$20</f>
      </c>
      <c r="F10" s="21">
        <f>Sources_Uses!$C$20</f>
      </c>
      <c r="G10" s="21">
        <f>Sources_Uses!$C$20</f>
      </c>
      <c r="H10" s="21">
        <f>Sources_Uses!$C$20</f>
      </c>
    </row>
    <row r="11" spans="2:8" x14ac:dyDescent="0.25">
      <c r="B11" s="3" t="s">
        <v>153</v>
      </c>
      <c r="C11" s="4">
        <f>SUM($C$6:$C$10)</f>
      </c>
      <c r="D11" s="4">
        <f>SUM($D$6:$D$10)</f>
      </c>
      <c r="E11" s="4">
        <f>SUM($E$6:$E$10)</f>
      </c>
      <c r="F11" s="4">
        <f>SUM($F$6:$F$10)</f>
      </c>
      <c r="G11" s="4">
        <f>SUM($G$6:$G$10)</f>
      </c>
      <c r="H11" s="4">
        <f>SUM($H$6:$H$10)</f>
      </c>
    </row>
    <row r="13" spans="2:8" x14ac:dyDescent="0.25">
      <c r="B13" s="8" t="s">
        <v>154</v>
      </c>
      <c r="C13" s="8"/>
      <c r="D13" s="8"/>
      <c r="E13" s="8"/>
      <c r="F13" s="8"/>
      <c r="G13" s="8"/>
      <c r="H13" s="8"/>
    </row>
    <row r="14" spans="2:8" x14ac:dyDescent="0.25">
      <c r="B14" s="5" t="s">
        <v>16</v>
      </c>
      <c r="C14" s="21">
        <f>Debt_Schedule!$C$10</f>
      </c>
      <c r="D14" s="21">
        <f>Debt_Schedule!$D$10</f>
      </c>
      <c r="E14" s="21">
        <f>Debt_Schedule!$E$10</f>
      </c>
      <c r="F14" s="21">
        <f>Debt_Schedule!$F$10</f>
      </c>
      <c r="G14" s="21">
        <f>Debt_Schedule!$G$10</f>
      </c>
      <c r="H14" s="21">
        <f>Debt_Schedule!$H$10</f>
      </c>
    </row>
    <row r="15" spans="2:8" x14ac:dyDescent="0.25">
      <c r="B15" s="5" t="s">
        <v>17</v>
      </c>
      <c r="C15" s="21">
        <f>Debt_Schedule!$C$18</f>
      </c>
      <c r="D15" s="21">
        <f>Debt_Schedule!$D$18</f>
      </c>
      <c r="E15" s="21">
        <f>Debt_Schedule!$E$18</f>
      </c>
      <c r="F15" s="21">
        <f>Debt_Schedule!$F$18</f>
      </c>
      <c r="G15" s="21">
        <f>Debt_Schedule!$G$18</f>
      </c>
      <c r="H15" s="21">
        <f>Debt_Schedule!$H$18</f>
      </c>
    </row>
    <row r="16" spans="2:8" x14ac:dyDescent="0.25">
      <c r="B16" s="5" t="s">
        <v>155</v>
      </c>
      <c r="C16" s="21">
        <f>Debt_Schedule!$C$26</f>
      </c>
      <c r="D16" s="21">
        <f>Debt_Schedule!$D$26</f>
      </c>
      <c r="E16" s="21">
        <f>Debt_Schedule!$E$26</f>
      </c>
      <c r="F16" s="21">
        <f>Debt_Schedule!$F$26</f>
      </c>
      <c r="G16" s="21">
        <f>Debt_Schedule!$G$26</f>
      </c>
      <c r="H16" s="21">
        <f>Debt_Schedule!$H$26</f>
      </c>
    </row>
    <row r="17" spans="2:8" x14ac:dyDescent="0.25">
      <c r="B17" s="3" t="s">
        <v>63</v>
      </c>
      <c r="C17" s="29">
        <f>Debt_Schedule!$C$33</f>
      </c>
      <c r="D17" s="29">
        <f>Debt_Schedule!$D$33</f>
      </c>
      <c r="E17" s="29">
        <f>Debt_Schedule!$E$33</f>
      </c>
      <c r="F17" s="29">
        <f>Debt_Schedule!$F$33</f>
      </c>
      <c r="G17" s="29">
        <f>Debt_Schedule!$G$33</f>
      </c>
      <c r="H17" s="29">
        <f>Debt_Schedule!$H$33</f>
      </c>
    </row>
    <row r="19" spans="2:8" x14ac:dyDescent="0.25">
      <c r="B19" s="8" t="s">
        <v>156</v>
      </c>
      <c r="C19" s="8"/>
      <c r="D19" s="8"/>
      <c r="E19" s="8"/>
      <c r="F19" s="8"/>
      <c r="G19" s="8"/>
      <c r="H19" s="8"/>
    </row>
    <row r="20" spans="2:8" x14ac:dyDescent="0.25">
      <c r="B20" s="5" t="s">
        <v>157</v>
      </c>
      <c r="C20" s="21">
        <f>Sources_Uses!$C$13</f>
      </c>
      <c r="D20" s="21">
        <f>Sources_Uses!$C$13</f>
      </c>
      <c r="E20" s="21">
        <f>Sources_Uses!$C$13</f>
      </c>
      <c r="F20" s="21">
        <f>Sources_Uses!$C$13</f>
      </c>
      <c r="G20" s="21">
        <f>Sources_Uses!$C$13</f>
      </c>
      <c r="H20" s="21">
        <f>Sources_Uses!$C$13</f>
      </c>
    </row>
    <row r="21" spans="2:8" x14ac:dyDescent="0.25">
      <c r="B21" s="5" t="s">
        <v>158</v>
      </c>
      <c r="C21" s="10">
        <f>0</f>
      </c>
      <c r="D21" s="21">
        <f>$C$21+Income_Stmt!$D$22</f>
      </c>
      <c r="E21" s="21">
        <f>$D$21+Income_Stmt!$E$22</f>
      </c>
      <c r="F21" s="21">
        <f>$E$21+Income_Stmt!$F$22</f>
      </c>
      <c r="G21" s="21">
        <f>$F$21+Income_Stmt!$G$22</f>
      </c>
      <c r="H21" s="21">
        <f>$G$21+Income_Stmt!$H$22</f>
      </c>
    </row>
    <row r="22" spans="2:8" x14ac:dyDescent="0.25">
      <c r="B22" s="3" t="s">
        <v>159</v>
      </c>
      <c r="C22" s="4">
        <f>$C$20+$C$21</f>
      </c>
      <c r="D22" s="4">
        <f>$D$20+$D$21</f>
      </c>
      <c r="E22" s="4">
        <f>$E$20+$E$21</f>
      </c>
      <c r="F22" s="4">
        <f>$F$20+$F$21</f>
      </c>
      <c r="G22" s="4">
        <f>$G$20+$G$21</f>
      </c>
      <c r="H22" s="4">
        <f>$H$20+$H$21</f>
      </c>
    </row>
    <row r="24" spans="2:8" x14ac:dyDescent="0.25">
      <c r="B24" s="3" t="s">
        <v>160</v>
      </c>
      <c r="C24" s="4">
        <f>$C$17+$C$22</f>
      </c>
      <c r="D24" s="4">
        <f>$D$17+$D$22</f>
      </c>
      <c r="E24" s="4">
        <f>$E$17+$E$22</f>
      </c>
      <c r="F24" s="4">
        <f>$F$17+$F$22</f>
      </c>
      <c r="G24" s="4">
        <f>$G$17+$G$22</f>
      </c>
      <c r="H24" s="4">
        <f>$H$17+$H$22</f>
      </c>
    </row>
    <row r="25" spans="2:8" x14ac:dyDescent="0.25">
      <c r="B25" s="25" t="s">
        <v>161</v>
      </c>
      <c r="C25" s="4">
        <f>$C$11-$C$24</f>
      </c>
      <c r="D25" s="4">
        <f>$D$11-$D$24</f>
      </c>
      <c r="E25" s="4">
        <f>$E$11-$E$24</f>
      </c>
      <c r="F25" s="4">
        <f>$F$11-$F$24</f>
      </c>
      <c r="G25" s="4">
        <f>$G$11-$G$24</f>
      </c>
      <c r="H25" s="4">
        <f>$H$11-$H$24</f>
      </c>
    </row>
  </sheetData>
  <mergeCells count="4">
    <mergeCell ref="B3:H3"/>
    <mergeCell ref="B5:H5"/>
    <mergeCell ref="B13:H13"/>
    <mergeCell ref="B19:H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7"/>
  <sheetFormatPr defaultRowHeight="15" outlineLevelRow="0" outlineLevelCol="0" x14ac:dyDescent="55"/>
  <cols>
    <col min="1" max="1" width="2" customWidth="1"/>
    <col min="2" max="2" width="52" customWidth="1"/>
    <col min="3" max="3" width="16" customWidth="1"/>
    <col min="4" max="10" width="13" customWidth="1"/>
  </cols>
  <sheetData>
    <row r="1" spans="2:2" x14ac:dyDescent="0.25">
      <c r="B1" s="1" t="s">
        <v>162</v>
      </c>
    </row>
    <row r="2" spans="2:2" x14ac:dyDescent="0.25">
      <c r="B2" s="2" t="s">
        <v>163</v>
      </c>
    </row>
    <row r="4" spans="2:4" x14ac:dyDescent="0.25">
      <c r="B4" s="8" t="s">
        <v>164</v>
      </c>
      <c r="C4" s="8"/>
      <c r="D4" s="8"/>
    </row>
    <row r="5" spans="2:3" x14ac:dyDescent="0.25">
      <c r="B5" s="3" t="s">
        <v>165</v>
      </c>
      <c r="C5" s="29">
        <f>Sources_Uses!$C$13</f>
      </c>
    </row>
    <row r="6" spans="2:3" x14ac:dyDescent="0.25">
      <c r="B6" s="5" t="s">
        <v>166</v>
      </c>
      <c r="C6" s="33">
        <f>Assumptions!$C$50</f>
      </c>
    </row>
    <row r="7" spans="2:3" x14ac:dyDescent="0.25">
      <c r="B7" s="5" t="s">
        <v>167</v>
      </c>
      <c r="C7" s="21">
        <f>INDEX('Assumptions'!$D$28:$H$28,Assumptions!$C$50)</f>
      </c>
    </row>
    <row r="8" spans="2:3" x14ac:dyDescent="0.25">
      <c r="B8" s="5" t="s">
        <v>168</v>
      </c>
      <c r="C8" s="34">
        <f>Assumptions!$C$51</f>
      </c>
    </row>
    <row r="9" spans="2:3" x14ac:dyDescent="0.25">
      <c r="B9" s="3" t="s">
        <v>169</v>
      </c>
      <c r="C9" s="4">
        <f>$C$7*$C$8</f>
      </c>
    </row>
    <row r="10" spans="2:3" x14ac:dyDescent="0.25">
      <c r="B10" s="5" t="s">
        <v>170</v>
      </c>
      <c r="C10" s="21">
        <f>INDEX('Debt_Schedule'!$D$33:$H$33,Assumptions!$C$50)</f>
      </c>
    </row>
    <row r="11" spans="2:3" x14ac:dyDescent="0.25">
      <c r="B11" s="5" t="s">
        <v>171</v>
      </c>
      <c r="C11" s="21">
        <f>INDEX('Cash_Flow'!$D$17:$H$17,Assumptions!$C$50)</f>
      </c>
    </row>
    <row r="12" spans="2:3" x14ac:dyDescent="0.25">
      <c r="B12" s="5" t="s">
        <v>172</v>
      </c>
      <c r="C12" s="21">
        <f>$C$9*Assumptions!$C$52</f>
      </c>
    </row>
    <row r="13" spans="2:3" x14ac:dyDescent="0.25">
      <c r="B13" s="3" t="s">
        <v>173</v>
      </c>
      <c r="C13" s="4">
        <f>MAX($C$9-$C$12-$C$10+$C$11,0)</f>
      </c>
    </row>
    <row r="14" spans="2:3" x14ac:dyDescent="0.25">
      <c r="B14" s="3" t="s">
        <v>174</v>
      </c>
      <c r="C14" s="35">
        <f>IFERROR($C$13/$C$5,0)</f>
      </c>
    </row>
    <row r="15" spans="2:3" x14ac:dyDescent="0.25">
      <c r="B15" s="3" t="s">
        <v>175</v>
      </c>
      <c r="C15" s="36">
        <f>IFERROR(IRR($C$18:$C$23,0.20),0)</f>
      </c>
    </row>
    <row r="17" spans="2:4" x14ac:dyDescent="0.25">
      <c r="B17" s="8" t="s">
        <v>176</v>
      </c>
      <c r="C17" s="8"/>
      <c r="D17" s="8"/>
    </row>
    <row r="18" spans="2:3" x14ac:dyDescent="0.25">
      <c r="B18" s="5" t="s">
        <v>177</v>
      </c>
      <c r="C18" s="10">
        <f>-$C$5</f>
      </c>
    </row>
    <row r="19" spans="2:3" x14ac:dyDescent="0.25">
      <c r="B19" s="5" t="s">
        <v>178</v>
      </c>
      <c r="C19" s="21">
        <f>IF(Assumptions!$C$50=1,$C$13,0)</f>
      </c>
    </row>
    <row r="20" spans="2:3" x14ac:dyDescent="0.25">
      <c r="B20" s="5" t="s">
        <v>179</v>
      </c>
      <c r="C20" s="21">
        <f>IF(Assumptions!$C$50=2,$C$13,0)</f>
      </c>
    </row>
    <row r="21" spans="2:3" x14ac:dyDescent="0.25">
      <c r="B21" s="5" t="s">
        <v>180</v>
      </c>
      <c r="C21" s="21">
        <f>IF(Assumptions!$C$50=3,$C$13,0)</f>
      </c>
    </row>
    <row r="22" spans="2:3" x14ac:dyDescent="0.25">
      <c r="B22" s="5" t="s">
        <v>181</v>
      </c>
      <c r="C22" s="21">
        <f>IF(Assumptions!$C$50=4,$C$13,0)</f>
      </c>
    </row>
    <row r="23" spans="2:3" x14ac:dyDescent="0.25">
      <c r="B23" s="5" t="s">
        <v>182</v>
      </c>
      <c r="C23" s="21">
        <f>IF(Assumptions!$C$50=5,$C$13,0)</f>
      </c>
    </row>
    <row r="27" spans="2:10" x14ac:dyDescent="0.25">
      <c r="B27" s="8" t="s">
        <v>183</v>
      </c>
      <c r="C27" s="8"/>
      <c r="D27" s="8"/>
      <c r="E27" s="8"/>
      <c r="F27" s="8"/>
      <c r="G27" s="8"/>
      <c r="H27" s="8"/>
      <c r="I27" s="8"/>
      <c r="J27" s="8"/>
    </row>
    <row r="28" spans="2:2" x14ac:dyDescent="0.25">
      <c r="B28" s="37" t="s">
        <v>184</v>
      </c>
    </row>
    <row r="29" spans="2:9" x14ac:dyDescent="0.25">
      <c r="B29" s="32" t="s">
        <v>185</v>
      </c>
      <c r="D29" s="38">
        <v>8</v>
      </c>
      <c r="E29" s="38">
        <v>9</v>
      </c>
      <c r="F29" s="38">
        <v>10</v>
      </c>
      <c r="G29" s="38">
        <v>11</v>
      </c>
      <c r="H29" s="38">
        <v>12</v>
      </c>
      <c r="I29" s="38">
        <v>13</v>
      </c>
    </row>
    <row r="30" spans="3:9" x14ac:dyDescent="0.25">
      <c r="C30" s="38">
        <v>8</v>
      </c>
      <c r="D30" s="22">
        <f>IFERROR((MAX(INDEX('Assumptions'!$D$28:$H$28,Assumptions!$C$50)*8*(1-Assumptions!$C$52)-INDEX('Debt_Schedule'!$D$33:$H$33,Assumptions!$C$50)+INDEX('Cash_Flow'!$D$17:$H$17,Assumptions!$C$50),0)/MAX(Assumptions!$C$28*8*(1+Assumptions!$C$8)-Sources_Uses!$C$9,1))^(1/MAX(Assumptions!$C$50,1))-1,"N/A")</f>
      </c>
      <c r="E30" s="22">
        <f>IFERROR((MAX(INDEX('Assumptions'!$D$28:$H$28,Assumptions!$C$50)*9*(1-Assumptions!$C$52)-INDEX('Debt_Schedule'!$D$33:$H$33,Assumptions!$C$50)+INDEX('Cash_Flow'!$D$17:$H$17,Assumptions!$C$50),0)/MAX(Assumptions!$C$28*8*(1+Assumptions!$C$8)-Sources_Uses!$C$9,1))^(1/MAX(Assumptions!$C$50,1))-1,"N/A")</f>
      </c>
      <c r="F30" s="22">
        <f>IFERROR((MAX(INDEX('Assumptions'!$D$28:$H$28,Assumptions!$C$50)*10*(1-Assumptions!$C$52)-INDEX('Debt_Schedule'!$D$33:$H$33,Assumptions!$C$50)+INDEX('Cash_Flow'!$D$17:$H$17,Assumptions!$C$50),0)/MAX(Assumptions!$C$28*8*(1+Assumptions!$C$8)-Sources_Uses!$C$9,1))^(1/MAX(Assumptions!$C$50,1))-1,"N/A")</f>
      </c>
      <c r="G30" s="22">
        <f>IFERROR((MAX(INDEX('Assumptions'!$D$28:$H$28,Assumptions!$C$50)*11*(1-Assumptions!$C$52)-INDEX('Debt_Schedule'!$D$33:$H$33,Assumptions!$C$50)+INDEX('Cash_Flow'!$D$17:$H$17,Assumptions!$C$50),0)/MAX(Assumptions!$C$28*8*(1+Assumptions!$C$8)-Sources_Uses!$C$9,1))^(1/MAX(Assumptions!$C$50,1))-1,"N/A")</f>
      </c>
      <c r="H30" s="22">
        <f>IFERROR((MAX(INDEX('Assumptions'!$D$28:$H$28,Assumptions!$C$50)*12*(1-Assumptions!$C$52)-INDEX('Debt_Schedule'!$D$33:$H$33,Assumptions!$C$50)+INDEX('Cash_Flow'!$D$17:$H$17,Assumptions!$C$50),0)/MAX(Assumptions!$C$28*8*(1+Assumptions!$C$8)-Sources_Uses!$C$9,1))^(1/MAX(Assumptions!$C$50,1))-1,"N/A")</f>
      </c>
      <c r="I30" s="22">
        <f>IFERROR((MAX(INDEX('Assumptions'!$D$28:$H$28,Assumptions!$C$50)*13*(1-Assumptions!$C$52)-INDEX('Debt_Schedule'!$D$33:$H$33,Assumptions!$C$50)+INDEX('Cash_Flow'!$D$17:$H$17,Assumptions!$C$50),0)/MAX(Assumptions!$C$28*8*(1+Assumptions!$C$8)-Sources_Uses!$C$9,1))^(1/MAX(Assumptions!$C$50,1))-1,"N/A")</f>
      </c>
    </row>
    <row r="31" spans="3:9" x14ac:dyDescent="0.25">
      <c r="C31" s="38">
        <v>9</v>
      </c>
      <c r="D31" s="22">
        <f>IFERROR((MAX(INDEX('Assumptions'!$D$28:$H$28,Assumptions!$C$50)*8*(1-Assumptions!$C$52)-INDEX('Debt_Schedule'!$D$33:$H$33,Assumptions!$C$50)+INDEX('Cash_Flow'!$D$17:$H$17,Assumptions!$C$50),0)/MAX(Assumptions!$C$28*9*(1+Assumptions!$C$8)-Sources_Uses!$C$9,1))^(1/MAX(Assumptions!$C$50,1))-1,"N/A")</f>
      </c>
      <c r="E31" s="22">
        <f>IFERROR((MAX(INDEX('Assumptions'!$D$28:$H$28,Assumptions!$C$50)*9*(1-Assumptions!$C$52)-INDEX('Debt_Schedule'!$D$33:$H$33,Assumptions!$C$50)+INDEX('Cash_Flow'!$D$17:$H$17,Assumptions!$C$50),0)/MAX(Assumptions!$C$28*9*(1+Assumptions!$C$8)-Sources_Uses!$C$9,1))^(1/MAX(Assumptions!$C$50,1))-1,"N/A")</f>
      </c>
      <c r="F31" s="22">
        <f>IFERROR((MAX(INDEX('Assumptions'!$D$28:$H$28,Assumptions!$C$50)*10*(1-Assumptions!$C$52)-INDEX('Debt_Schedule'!$D$33:$H$33,Assumptions!$C$50)+INDEX('Cash_Flow'!$D$17:$H$17,Assumptions!$C$50),0)/MAX(Assumptions!$C$28*9*(1+Assumptions!$C$8)-Sources_Uses!$C$9,1))^(1/MAX(Assumptions!$C$50,1))-1,"N/A")</f>
      </c>
      <c r="G31" s="22">
        <f>IFERROR((MAX(INDEX('Assumptions'!$D$28:$H$28,Assumptions!$C$50)*11*(1-Assumptions!$C$52)-INDEX('Debt_Schedule'!$D$33:$H$33,Assumptions!$C$50)+INDEX('Cash_Flow'!$D$17:$H$17,Assumptions!$C$50),0)/MAX(Assumptions!$C$28*9*(1+Assumptions!$C$8)-Sources_Uses!$C$9,1))^(1/MAX(Assumptions!$C$50,1))-1,"N/A")</f>
      </c>
      <c r="H31" s="22">
        <f>IFERROR((MAX(INDEX('Assumptions'!$D$28:$H$28,Assumptions!$C$50)*12*(1-Assumptions!$C$52)-INDEX('Debt_Schedule'!$D$33:$H$33,Assumptions!$C$50)+INDEX('Cash_Flow'!$D$17:$H$17,Assumptions!$C$50),0)/MAX(Assumptions!$C$28*9*(1+Assumptions!$C$8)-Sources_Uses!$C$9,1))^(1/MAX(Assumptions!$C$50,1))-1,"N/A")</f>
      </c>
      <c r="I31" s="22">
        <f>IFERROR((MAX(INDEX('Assumptions'!$D$28:$H$28,Assumptions!$C$50)*13*(1-Assumptions!$C$52)-INDEX('Debt_Schedule'!$D$33:$H$33,Assumptions!$C$50)+INDEX('Cash_Flow'!$D$17:$H$17,Assumptions!$C$50),0)/MAX(Assumptions!$C$28*9*(1+Assumptions!$C$8)-Sources_Uses!$C$9,1))^(1/MAX(Assumptions!$C$50,1))-1,"N/A")</f>
      </c>
    </row>
    <row r="32" spans="3:9" x14ac:dyDescent="0.25">
      <c r="C32" s="38">
        <v>10</v>
      </c>
      <c r="D32" s="22">
        <f>IFERROR((MAX(INDEX('Assumptions'!$D$28:$H$28,Assumptions!$C$50)*8*(1-Assumptions!$C$52)-INDEX('Debt_Schedule'!$D$33:$H$33,Assumptions!$C$50)+INDEX('Cash_Flow'!$D$17:$H$17,Assumptions!$C$50),0)/MAX(Assumptions!$C$28*10*(1+Assumptions!$C$8)-Sources_Uses!$C$9,1))^(1/MAX(Assumptions!$C$50,1))-1,"N/A")</f>
      </c>
      <c r="E32" s="22">
        <f>IFERROR((MAX(INDEX('Assumptions'!$D$28:$H$28,Assumptions!$C$50)*9*(1-Assumptions!$C$52)-INDEX('Debt_Schedule'!$D$33:$H$33,Assumptions!$C$50)+INDEX('Cash_Flow'!$D$17:$H$17,Assumptions!$C$50),0)/MAX(Assumptions!$C$28*10*(1+Assumptions!$C$8)-Sources_Uses!$C$9,1))^(1/MAX(Assumptions!$C$50,1))-1,"N/A")</f>
      </c>
      <c r="F32" s="22">
        <f>IFERROR((MAX(INDEX('Assumptions'!$D$28:$H$28,Assumptions!$C$50)*10*(1-Assumptions!$C$52)-INDEX('Debt_Schedule'!$D$33:$H$33,Assumptions!$C$50)+INDEX('Cash_Flow'!$D$17:$H$17,Assumptions!$C$50),0)/MAX(Assumptions!$C$28*10*(1+Assumptions!$C$8)-Sources_Uses!$C$9,1))^(1/MAX(Assumptions!$C$50,1))-1,"N/A")</f>
      </c>
      <c r="G32" s="22">
        <f>IFERROR((MAX(INDEX('Assumptions'!$D$28:$H$28,Assumptions!$C$50)*11*(1-Assumptions!$C$52)-INDEX('Debt_Schedule'!$D$33:$H$33,Assumptions!$C$50)+INDEX('Cash_Flow'!$D$17:$H$17,Assumptions!$C$50),0)/MAX(Assumptions!$C$28*10*(1+Assumptions!$C$8)-Sources_Uses!$C$9,1))^(1/MAX(Assumptions!$C$50,1))-1,"N/A")</f>
      </c>
      <c r="H32" s="22">
        <f>IFERROR((MAX(INDEX('Assumptions'!$D$28:$H$28,Assumptions!$C$50)*12*(1-Assumptions!$C$52)-INDEX('Debt_Schedule'!$D$33:$H$33,Assumptions!$C$50)+INDEX('Cash_Flow'!$D$17:$H$17,Assumptions!$C$50),0)/MAX(Assumptions!$C$28*10*(1+Assumptions!$C$8)-Sources_Uses!$C$9,1))^(1/MAX(Assumptions!$C$50,1))-1,"N/A")</f>
      </c>
      <c r="I32" s="22">
        <f>IFERROR((MAX(INDEX('Assumptions'!$D$28:$H$28,Assumptions!$C$50)*13*(1-Assumptions!$C$52)-INDEX('Debt_Schedule'!$D$33:$H$33,Assumptions!$C$50)+INDEX('Cash_Flow'!$D$17:$H$17,Assumptions!$C$50),0)/MAX(Assumptions!$C$28*10*(1+Assumptions!$C$8)-Sources_Uses!$C$9,1))^(1/MAX(Assumptions!$C$50,1))-1,"N/A")</f>
      </c>
    </row>
    <row r="33" spans="3:9" x14ac:dyDescent="0.25">
      <c r="C33" s="38">
        <v>11</v>
      </c>
      <c r="D33" s="22">
        <f>IFERROR((MAX(INDEX('Assumptions'!$D$28:$H$28,Assumptions!$C$50)*8*(1-Assumptions!$C$52)-INDEX('Debt_Schedule'!$D$33:$H$33,Assumptions!$C$50)+INDEX('Cash_Flow'!$D$17:$H$17,Assumptions!$C$50),0)/MAX(Assumptions!$C$28*11*(1+Assumptions!$C$8)-Sources_Uses!$C$9,1))^(1/MAX(Assumptions!$C$50,1))-1,"N/A")</f>
      </c>
      <c r="E33" s="22">
        <f>IFERROR((MAX(INDEX('Assumptions'!$D$28:$H$28,Assumptions!$C$50)*9*(1-Assumptions!$C$52)-INDEX('Debt_Schedule'!$D$33:$H$33,Assumptions!$C$50)+INDEX('Cash_Flow'!$D$17:$H$17,Assumptions!$C$50),0)/MAX(Assumptions!$C$28*11*(1+Assumptions!$C$8)-Sources_Uses!$C$9,1))^(1/MAX(Assumptions!$C$50,1))-1,"N/A")</f>
      </c>
      <c r="F33" s="22">
        <f>IFERROR((MAX(INDEX('Assumptions'!$D$28:$H$28,Assumptions!$C$50)*10*(1-Assumptions!$C$52)-INDEX('Debt_Schedule'!$D$33:$H$33,Assumptions!$C$50)+INDEX('Cash_Flow'!$D$17:$H$17,Assumptions!$C$50),0)/MAX(Assumptions!$C$28*11*(1+Assumptions!$C$8)-Sources_Uses!$C$9,1))^(1/MAX(Assumptions!$C$50,1))-1,"N/A")</f>
      </c>
      <c r="G33" s="22">
        <f>IFERROR((MAX(INDEX('Assumptions'!$D$28:$H$28,Assumptions!$C$50)*11*(1-Assumptions!$C$52)-INDEX('Debt_Schedule'!$D$33:$H$33,Assumptions!$C$50)+INDEX('Cash_Flow'!$D$17:$H$17,Assumptions!$C$50),0)/MAX(Assumptions!$C$28*11*(1+Assumptions!$C$8)-Sources_Uses!$C$9,1))^(1/MAX(Assumptions!$C$50,1))-1,"N/A")</f>
      </c>
      <c r="H33" s="22">
        <f>IFERROR((MAX(INDEX('Assumptions'!$D$28:$H$28,Assumptions!$C$50)*12*(1-Assumptions!$C$52)-INDEX('Debt_Schedule'!$D$33:$H$33,Assumptions!$C$50)+INDEX('Cash_Flow'!$D$17:$H$17,Assumptions!$C$50),0)/MAX(Assumptions!$C$28*11*(1+Assumptions!$C$8)-Sources_Uses!$C$9,1))^(1/MAX(Assumptions!$C$50,1))-1,"N/A")</f>
      </c>
      <c r="I33" s="22">
        <f>IFERROR((MAX(INDEX('Assumptions'!$D$28:$H$28,Assumptions!$C$50)*13*(1-Assumptions!$C$52)-INDEX('Debt_Schedule'!$D$33:$H$33,Assumptions!$C$50)+INDEX('Cash_Flow'!$D$17:$H$17,Assumptions!$C$50),0)/MAX(Assumptions!$C$28*11*(1+Assumptions!$C$8)-Sources_Uses!$C$9,1))^(1/MAX(Assumptions!$C$50,1))-1,"N/A")</f>
      </c>
    </row>
    <row r="34" spans="3:9" x14ac:dyDescent="0.25">
      <c r="C34" s="38">
        <v>12</v>
      </c>
      <c r="D34" s="22">
        <f>IFERROR((MAX(INDEX('Assumptions'!$D$28:$H$28,Assumptions!$C$50)*8*(1-Assumptions!$C$52)-INDEX('Debt_Schedule'!$D$33:$H$33,Assumptions!$C$50)+INDEX('Cash_Flow'!$D$17:$H$17,Assumptions!$C$50),0)/MAX(Assumptions!$C$28*12*(1+Assumptions!$C$8)-Sources_Uses!$C$9,1))^(1/MAX(Assumptions!$C$50,1))-1,"N/A")</f>
      </c>
      <c r="E34" s="22">
        <f>IFERROR((MAX(INDEX('Assumptions'!$D$28:$H$28,Assumptions!$C$50)*9*(1-Assumptions!$C$52)-INDEX('Debt_Schedule'!$D$33:$H$33,Assumptions!$C$50)+INDEX('Cash_Flow'!$D$17:$H$17,Assumptions!$C$50),0)/MAX(Assumptions!$C$28*12*(1+Assumptions!$C$8)-Sources_Uses!$C$9,1))^(1/MAX(Assumptions!$C$50,1))-1,"N/A")</f>
      </c>
      <c r="F34" s="22">
        <f>IFERROR((MAX(INDEX('Assumptions'!$D$28:$H$28,Assumptions!$C$50)*10*(1-Assumptions!$C$52)-INDEX('Debt_Schedule'!$D$33:$H$33,Assumptions!$C$50)+INDEX('Cash_Flow'!$D$17:$H$17,Assumptions!$C$50),0)/MAX(Assumptions!$C$28*12*(1+Assumptions!$C$8)-Sources_Uses!$C$9,1))^(1/MAX(Assumptions!$C$50,1))-1,"N/A")</f>
      </c>
      <c r="G34" s="22">
        <f>IFERROR((MAX(INDEX('Assumptions'!$D$28:$H$28,Assumptions!$C$50)*11*(1-Assumptions!$C$52)-INDEX('Debt_Schedule'!$D$33:$H$33,Assumptions!$C$50)+INDEX('Cash_Flow'!$D$17:$H$17,Assumptions!$C$50),0)/MAX(Assumptions!$C$28*12*(1+Assumptions!$C$8)-Sources_Uses!$C$9,1))^(1/MAX(Assumptions!$C$50,1))-1,"N/A")</f>
      </c>
      <c r="H34" s="22">
        <f>IFERROR((MAX(INDEX('Assumptions'!$D$28:$H$28,Assumptions!$C$50)*12*(1-Assumptions!$C$52)-INDEX('Debt_Schedule'!$D$33:$H$33,Assumptions!$C$50)+INDEX('Cash_Flow'!$D$17:$H$17,Assumptions!$C$50),0)/MAX(Assumptions!$C$28*12*(1+Assumptions!$C$8)-Sources_Uses!$C$9,1))^(1/MAX(Assumptions!$C$50,1))-1,"N/A")</f>
      </c>
      <c r="I34" s="22">
        <f>IFERROR((MAX(INDEX('Assumptions'!$D$28:$H$28,Assumptions!$C$50)*13*(1-Assumptions!$C$52)-INDEX('Debt_Schedule'!$D$33:$H$33,Assumptions!$C$50)+INDEX('Cash_Flow'!$D$17:$H$17,Assumptions!$C$50),0)/MAX(Assumptions!$C$28*12*(1+Assumptions!$C$8)-Sources_Uses!$C$9,1))^(1/MAX(Assumptions!$C$50,1))-1,"N/A")</f>
      </c>
    </row>
    <row r="40" spans="2:10" x14ac:dyDescent="0.25">
      <c r="B40" s="8" t="s">
        <v>186</v>
      </c>
      <c r="C40" s="8"/>
      <c r="D40" s="8"/>
      <c r="E40" s="8"/>
      <c r="F40" s="8"/>
      <c r="G40" s="8"/>
      <c r="H40" s="8"/>
      <c r="I40" s="8"/>
      <c r="J40" s="8"/>
    </row>
    <row r="41" spans="2:2" x14ac:dyDescent="0.25">
      <c r="B41" s="37" t="s">
        <v>184</v>
      </c>
    </row>
    <row r="42" spans="2:9" x14ac:dyDescent="0.25">
      <c r="B42" s="32" t="s">
        <v>185</v>
      </c>
      <c r="D42" s="38">
        <v>8</v>
      </c>
      <c r="E42" s="38">
        <v>9</v>
      </c>
      <c r="F42" s="38">
        <v>10</v>
      </c>
      <c r="G42" s="38">
        <v>11</v>
      </c>
      <c r="H42" s="38">
        <v>12</v>
      </c>
      <c r="I42" s="38">
        <v>13</v>
      </c>
    </row>
    <row r="43" spans="3:9" x14ac:dyDescent="0.25">
      <c r="C43" s="38">
        <v>8</v>
      </c>
      <c r="D43" s="34">
        <f>IFERROR(MAX(INDEX('Assumptions'!$D$28:$H$28,Assumptions!$C$50)*8*(1-Assumptions!$C$52)-INDEX('Debt_Schedule'!$D$33:$H$33,Assumptions!$C$50)+INDEX('Cash_Flow'!$D$17:$H$17,Assumptions!$C$50),0)/MAX(Assumptions!$C$28*8*(1+Assumptions!$C$8)-Sources_Uses!$C$9,1),0)</f>
      </c>
      <c r="E43" s="34">
        <f>IFERROR(MAX(INDEX('Assumptions'!$D$28:$H$28,Assumptions!$C$50)*9*(1-Assumptions!$C$52)-INDEX('Debt_Schedule'!$D$33:$H$33,Assumptions!$C$50)+INDEX('Cash_Flow'!$D$17:$H$17,Assumptions!$C$50),0)/MAX(Assumptions!$C$28*8*(1+Assumptions!$C$8)-Sources_Uses!$C$9,1),0)</f>
      </c>
      <c r="F43" s="34">
        <f>IFERROR(MAX(INDEX('Assumptions'!$D$28:$H$28,Assumptions!$C$50)*10*(1-Assumptions!$C$52)-INDEX('Debt_Schedule'!$D$33:$H$33,Assumptions!$C$50)+INDEX('Cash_Flow'!$D$17:$H$17,Assumptions!$C$50),0)/MAX(Assumptions!$C$28*8*(1+Assumptions!$C$8)-Sources_Uses!$C$9,1),0)</f>
      </c>
      <c r="G43" s="34">
        <f>IFERROR(MAX(INDEX('Assumptions'!$D$28:$H$28,Assumptions!$C$50)*11*(1-Assumptions!$C$52)-INDEX('Debt_Schedule'!$D$33:$H$33,Assumptions!$C$50)+INDEX('Cash_Flow'!$D$17:$H$17,Assumptions!$C$50),0)/MAX(Assumptions!$C$28*8*(1+Assumptions!$C$8)-Sources_Uses!$C$9,1),0)</f>
      </c>
      <c r="H43" s="34">
        <f>IFERROR(MAX(INDEX('Assumptions'!$D$28:$H$28,Assumptions!$C$50)*12*(1-Assumptions!$C$52)-INDEX('Debt_Schedule'!$D$33:$H$33,Assumptions!$C$50)+INDEX('Cash_Flow'!$D$17:$H$17,Assumptions!$C$50),0)/MAX(Assumptions!$C$28*8*(1+Assumptions!$C$8)-Sources_Uses!$C$9,1),0)</f>
      </c>
      <c r="I43" s="34">
        <f>IFERROR(MAX(INDEX('Assumptions'!$D$28:$H$28,Assumptions!$C$50)*13*(1-Assumptions!$C$52)-INDEX('Debt_Schedule'!$D$33:$H$33,Assumptions!$C$50)+INDEX('Cash_Flow'!$D$17:$H$17,Assumptions!$C$50),0)/MAX(Assumptions!$C$28*8*(1+Assumptions!$C$8)-Sources_Uses!$C$9,1),0)</f>
      </c>
    </row>
    <row r="44" spans="3:9" x14ac:dyDescent="0.25">
      <c r="C44" s="38">
        <v>9</v>
      </c>
      <c r="D44" s="34">
        <f>IFERROR(MAX(INDEX('Assumptions'!$D$28:$H$28,Assumptions!$C$50)*8*(1-Assumptions!$C$52)-INDEX('Debt_Schedule'!$D$33:$H$33,Assumptions!$C$50)+INDEX('Cash_Flow'!$D$17:$H$17,Assumptions!$C$50),0)/MAX(Assumptions!$C$28*9*(1+Assumptions!$C$8)-Sources_Uses!$C$9,1),0)</f>
      </c>
      <c r="E44" s="34">
        <f>IFERROR(MAX(INDEX('Assumptions'!$D$28:$H$28,Assumptions!$C$50)*9*(1-Assumptions!$C$52)-INDEX('Debt_Schedule'!$D$33:$H$33,Assumptions!$C$50)+INDEX('Cash_Flow'!$D$17:$H$17,Assumptions!$C$50),0)/MAX(Assumptions!$C$28*9*(1+Assumptions!$C$8)-Sources_Uses!$C$9,1),0)</f>
      </c>
      <c r="F44" s="34">
        <f>IFERROR(MAX(INDEX('Assumptions'!$D$28:$H$28,Assumptions!$C$50)*10*(1-Assumptions!$C$52)-INDEX('Debt_Schedule'!$D$33:$H$33,Assumptions!$C$50)+INDEX('Cash_Flow'!$D$17:$H$17,Assumptions!$C$50),0)/MAX(Assumptions!$C$28*9*(1+Assumptions!$C$8)-Sources_Uses!$C$9,1),0)</f>
      </c>
      <c r="G44" s="34">
        <f>IFERROR(MAX(INDEX('Assumptions'!$D$28:$H$28,Assumptions!$C$50)*11*(1-Assumptions!$C$52)-INDEX('Debt_Schedule'!$D$33:$H$33,Assumptions!$C$50)+INDEX('Cash_Flow'!$D$17:$H$17,Assumptions!$C$50),0)/MAX(Assumptions!$C$28*9*(1+Assumptions!$C$8)-Sources_Uses!$C$9,1),0)</f>
      </c>
      <c r="H44" s="34">
        <f>IFERROR(MAX(INDEX('Assumptions'!$D$28:$H$28,Assumptions!$C$50)*12*(1-Assumptions!$C$52)-INDEX('Debt_Schedule'!$D$33:$H$33,Assumptions!$C$50)+INDEX('Cash_Flow'!$D$17:$H$17,Assumptions!$C$50),0)/MAX(Assumptions!$C$28*9*(1+Assumptions!$C$8)-Sources_Uses!$C$9,1),0)</f>
      </c>
      <c r="I44" s="34">
        <f>IFERROR(MAX(INDEX('Assumptions'!$D$28:$H$28,Assumptions!$C$50)*13*(1-Assumptions!$C$52)-INDEX('Debt_Schedule'!$D$33:$H$33,Assumptions!$C$50)+INDEX('Cash_Flow'!$D$17:$H$17,Assumptions!$C$50),0)/MAX(Assumptions!$C$28*9*(1+Assumptions!$C$8)-Sources_Uses!$C$9,1),0)</f>
      </c>
    </row>
    <row r="45" spans="3:9" x14ac:dyDescent="0.25">
      <c r="C45" s="38">
        <v>10</v>
      </c>
      <c r="D45" s="34">
        <f>IFERROR(MAX(INDEX('Assumptions'!$D$28:$H$28,Assumptions!$C$50)*8*(1-Assumptions!$C$52)-INDEX('Debt_Schedule'!$D$33:$H$33,Assumptions!$C$50)+INDEX('Cash_Flow'!$D$17:$H$17,Assumptions!$C$50),0)/MAX(Assumptions!$C$28*10*(1+Assumptions!$C$8)-Sources_Uses!$C$9,1),0)</f>
      </c>
      <c r="E45" s="34">
        <f>IFERROR(MAX(INDEX('Assumptions'!$D$28:$H$28,Assumptions!$C$50)*9*(1-Assumptions!$C$52)-INDEX('Debt_Schedule'!$D$33:$H$33,Assumptions!$C$50)+INDEX('Cash_Flow'!$D$17:$H$17,Assumptions!$C$50),0)/MAX(Assumptions!$C$28*10*(1+Assumptions!$C$8)-Sources_Uses!$C$9,1),0)</f>
      </c>
      <c r="F45" s="34">
        <f>IFERROR(MAX(INDEX('Assumptions'!$D$28:$H$28,Assumptions!$C$50)*10*(1-Assumptions!$C$52)-INDEX('Debt_Schedule'!$D$33:$H$33,Assumptions!$C$50)+INDEX('Cash_Flow'!$D$17:$H$17,Assumptions!$C$50),0)/MAX(Assumptions!$C$28*10*(1+Assumptions!$C$8)-Sources_Uses!$C$9,1),0)</f>
      </c>
      <c r="G45" s="34">
        <f>IFERROR(MAX(INDEX('Assumptions'!$D$28:$H$28,Assumptions!$C$50)*11*(1-Assumptions!$C$52)-INDEX('Debt_Schedule'!$D$33:$H$33,Assumptions!$C$50)+INDEX('Cash_Flow'!$D$17:$H$17,Assumptions!$C$50),0)/MAX(Assumptions!$C$28*10*(1+Assumptions!$C$8)-Sources_Uses!$C$9,1),0)</f>
      </c>
      <c r="H45" s="34">
        <f>IFERROR(MAX(INDEX('Assumptions'!$D$28:$H$28,Assumptions!$C$50)*12*(1-Assumptions!$C$52)-INDEX('Debt_Schedule'!$D$33:$H$33,Assumptions!$C$50)+INDEX('Cash_Flow'!$D$17:$H$17,Assumptions!$C$50),0)/MAX(Assumptions!$C$28*10*(1+Assumptions!$C$8)-Sources_Uses!$C$9,1),0)</f>
      </c>
      <c r="I45" s="34">
        <f>IFERROR(MAX(INDEX('Assumptions'!$D$28:$H$28,Assumptions!$C$50)*13*(1-Assumptions!$C$52)-INDEX('Debt_Schedule'!$D$33:$H$33,Assumptions!$C$50)+INDEX('Cash_Flow'!$D$17:$H$17,Assumptions!$C$50),0)/MAX(Assumptions!$C$28*10*(1+Assumptions!$C$8)-Sources_Uses!$C$9,1),0)</f>
      </c>
    </row>
    <row r="46" spans="3:9" x14ac:dyDescent="0.25">
      <c r="C46" s="38">
        <v>11</v>
      </c>
      <c r="D46" s="34">
        <f>IFERROR(MAX(INDEX('Assumptions'!$D$28:$H$28,Assumptions!$C$50)*8*(1-Assumptions!$C$52)-INDEX('Debt_Schedule'!$D$33:$H$33,Assumptions!$C$50)+INDEX('Cash_Flow'!$D$17:$H$17,Assumptions!$C$50),0)/MAX(Assumptions!$C$28*11*(1+Assumptions!$C$8)-Sources_Uses!$C$9,1),0)</f>
      </c>
      <c r="E46" s="34">
        <f>IFERROR(MAX(INDEX('Assumptions'!$D$28:$H$28,Assumptions!$C$50)*9*(1-Assumptions!$C$52)-INDEX('Debt_Schedule'!$D$33:$H$33,Assumptions!$C$50)+INDEX('Cash_Flow'!$D$17:$H$17,Assumptions!$C$50),0)/MAX(Assumptions!$C$28*11*(1+Assumptions!$C$8)-Sources_Uses!$C$9,1),0)</f>
      </c>
      <c r="F46" s="34">
        <f>IFERROR(MAX(INDEX('Assumptions'!$D$28:$H$28,Assumptions!$C$50)*10*(1-Assumptions!$C$52)-INDEX('Debt_Schedule'!$D$33:$H$33,Assumptions!$C$50)+INDEX('Cash_Flow'!$D$17:$H$17,Assumptions!$C$50),0)/MAX(Assumptions!$C$28*11*(1+Assumptions!$C$8)-Sources_Uses!$C$9,1),0)</f>
      </c>
      <c r="G46" s="34">
        <f>IFERROR(MAX(INDEX('Assumptions'!$D$28:$H$28,Assumptions!$C$50)*11*(1-Assumptions!$C$52)-INDEX('Debt_Schedule'!$D$33:$H$33,Assumptions!$C$50)+INDEX('Cash_Flow'!$D$17:$H$17,Assumptions!$C$50),0)/MAX(Assumptions!$C$28*11*(1+Assumptions!$C$8)-Sources_Uses!$C$9,1),0)</f>
      </c>
      <c r="H46" s="34">
        <f>IFERROR(MAX(INDEX('Assumptions'!$D$28:$H$28,Assumptions!$C$50)*12*(1-Assumptions!$C$52)-INDEX('Debt_Schedule'!$D$33:$H$33,Assumptions!$C$50)+INDEX('Cash_Flow'!$D$17:$H$17,Assumptions!$C$50),0)/MAX(Assumptions!$C$28*11*(1+Assumptions!$C$8)-Sources_Uses!$C$9,1),0)</f>
      </c>
      <c r="I46" s="34">
        <f>IFERROR(MAX(INDEX('Assumptions'!$D$28:$H$28,Assumptions!$C$50)*13*(1-Assumptions!$C$52)-INDEX('Debt_Schedule'!$D$33:$H$33,Assumptions!$C$50)+INDEX('Cash_Flow'!$D$17:$H$17,Assumptions!$C$50),0)/MAX(Assumptions!$C$28*11*(1+Assumptions!$C$8)-Sources_Uses!$C$9,1),0)</f>
      </c>
    </row>
    <row r="47" spans="3:9" x14ac:dyDescent="0.25">
      <c r="C47" s="38">
        <v>12</v>
      </c>
      <c r="D47" s="34">
        <f>IFERROR(MAX(INDEX('Assumptions'!$D$28:$H$28,Assumptions!$C$50)*8*(1-Assumptions!$C$52)-INDEX('Debt_Schedule'!$D$33:$H$33,Assumptions!$C$50)+INDEX('Cash_Flow'!$D$17:$H$17,Assumptions!$C$50),0)/MAX(Assumptions!$C$28*12*(1+Assumptions!$C$8)-Sources_Uses!$C$9,1),0)</f>
      </c>
      <c r="E47" s="34">
        <f>IFERROR(MAX(INDEX('Assumptions'!$D$28:$H$28,Assumptions!$C$50)*9*(1-Assumptions!$C$52)-INDEX('Debt_Schedule'!$D$33:$H$33,Assumptions!$C$50)+INDEX('Cash_Flow'!$D$17:$H$17,Assumptions!$C$50),0)/MAX(Assumptions!$C$28*12*(1+Assumptions!$C$8)-Sources_Uses!$C$9,1),0)</f>
      </c>
      <c r="F47" s="34">
        <f>IFERROR(MAX(INDEX('Assumptions'!$D$28:$H$28,Assumptions!$C$50)*10*(1-Assumptions!$C$52)-INDEX('Debt_Schedule'!$D$33:$H$33,Assumptions!$C$50)+INDEX('Cash_Flow'!$D$17:$H$17,Assumptions!$C$50),0)/MAX(Assumptions!$C$28*12*(1+Assumptions!$C$8)-Sources_Uses!$C$9,1),0)</f>
      </c>
      <c r="G47" s="34">
        <f>IFERROR(MAX(INDEX('Assumptions'!$D$28:$H$28,Assumptions!$C$50)*11*(1-Assumptions!$C$52)-INDEX('Debt_Schedule'!$D$33:$H$33,Assumptions!$C$50)+INDEX('Cash_Flow'!$D$17:$H$17,Assumptions!$C$50),0)/MAX(Assumptions!$C$28*12*(1+Assumptions!$C$8)-Sources_Uses!$C$9,1),0)</f>
      </c>
      <c r="H47" s="34">
        <f>IFERROR(MAX(INDEX('Assumptions'!$D$28:$H$28,Assumptions!$C$50)*12*(1-Assumptions!$C$52)-INDEX('Debt_Schedule'!$D$33:$H$33,Assumptions!$C$50)+INDEX('Cash_Flow'!$D$17:$H$17,Assumptions!$C$50),0)/MAX(Assumptions!$C$28*12*(1+Assumptions!$C$8)-Sources_Uses!$C$9,1),0)</f>
      </c>
      <c r="I47" s="34">
        <f>IFERROR(MAX(INDEX('Assumptions'!$D$28:$H$28,Assumptions!$C$50)*13*(1-Assumptions!$C$52)-INDEX('Debt_Schedule'!$D$33:$H$33,Assumptions!$C$50)+INDEX('Cash_Flow'!$D$17:$H$17,Assumptions!$C$50),0)/MAX(Assumptions!$C$28*12*(1+Assumptions!$C$8)-Sources_Uses!$C$9,1),0)</f>
      </c>
    </row>
  </sheetData>
  <mergeCells count="4">
    <mergeCell ref="B4:D4"/>
    <mergeCell ref="B17:D17"/>
    <mergeCell ref="B27:J27"/>
    <mergeCell ref="B40:J40"/>
  </mergeCells>
  <conditionalFormatting sqref="D30:I34">
    <cfRule type="expression" dxfId="0" priority="1">
      <formula>AND($C30='Assumptions'!$C$6,D$29='Assumptions'!$C$51)</formula>
    </cfRule>
  </conditionalFormatting>
  <conditionalFormatting sqref="D43:I47">
    <cfRule type="expression" dxfId="1" priority="2">
      <formula>AND($C43='Assumptions'!$C$6,D$42='Assumptions'!$C$51)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Sources_Uses</vt:lpstr>
      <vt:lpstr>Income_Stmt</vt:lpstr>
      <vt:lpstr>Debt_Schedule</vt:lpstr>
      <vt:lpstr>Cash_Flow</vt:lpstr>
      <vt:lpstr>Balance_Sheet</vt:lpstr>
      <vt:lpstr>Returns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LBO Model</dc:creator>
  <dc:title/>
  <dc:subject/>
  <dc:description/>
  <cp:keywords/>
  <cp:category/>
  <cp:lastModifiedBy>Unknown</cp:lastModifiedBy>
  <dcterms:created xsi:type="dcterms:W3CDTF">2026-07-01T07:42:34Z</dcterms:created>
  <dcterms:modified xsi:type="dcterms:W3CDTF">2026-07-01T07:42:34Z</dcterms:modified>
</cp:coreProperties>
</file>